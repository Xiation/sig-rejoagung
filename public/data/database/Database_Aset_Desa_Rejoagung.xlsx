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KN SRONO\"/>
    </mc:Choice>
  </mc:AlternateContent>
  <xr:revisionPtr revIDLastSave="0" documentId="13_ncr:1_{C11DE042-5C74-450C-A291-2108EE5118B1}" xr6:coauthVersionLast="47" xr6:coauthVersionMax="47" xr10:uidLastSave="{00000000-0000-0000-0000-000000000000}"/>
  <bookViews>
    <workbookView xWindow="2760" yWindow="2760" windowWidth="14400" windowHeight="8170" tabRatio="500" firstSheet="5" activeTab="3" xr2:uid="{00000000-000D-0000-FFFF-FFFF00000000}"/>
  </bookViews>
  <sheets>
    <sheet name="COVER" sheetId="1" r:id="rId1"/>
    <sheet name="PETUNJUK" sheetId="2" r:id="rId2"/>
    <sheet name="RINGKASAN" sheetId="3" r:id="rId3"/>
    <sheet name="INVENTARISASI ASET" sheetId="4" r:id="rId4"/>
    <sheet name="ASET OLAHRAGA" sheetId="5" r:id="rId5"/>
    <sheet name="ASET PEMERINTAHAN" sheetId="6" r:id="rId6"/>
    <sheet name="ASET KEAGAMAAN" sheetId="7" r:id="rId7"/>
    <sheet name="ASET PENDIDIKAN" sheetId="8" r:id="rId8"/>
  </sheets>
  <definedNames>
    <definedName name="_xlnm._FilterDatabase" localSheetId="6" hidden="1">'ASET KEAGAMAAN'!$A$3:$I$12</definedName>
    <definedName name="_xlnm._FilterDatabase" localSheetId="4" hidden="1">'ASET OLAHRAGA'!$A$3:$I$5</definedName>
    <definedName name="_xlnm._FilterDatabase" localSheetId="5" hidden="1">'ASET PEMERINTAHAN'!$A$3:$I$4</definedName>
    <definedName name="_xlnm._FilterDatabase" localSheetId="7" hidden="1">'ASET PENDIDIKAN'!$A$3:$I$13</definedName>
    <definedName name="_xlnm._FilterDatabase" localSheetId="3" hidden="1">'INVENTARISASI ASET'!$A$3:$L$24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C15" i="3"/>
  <c r="E15" i="3" s="1"/>
  <c r="C14" i="3"/>
  <c r="E14" i="3" s="1"/>
  <c r="C13" i="3"/>
  <c r="E13" i="3" s="1"/>
  <c r="C12" i="3"/>
  <c r="E12" i="3" s="1"/>
  <c r="C21" i="3"/>
  <c r="D21" i="3" s="1"/>
  <c r="C22" i="3"/>
  <c r="D22" i="3" s="1"/>
  <c r="C23" i="3"/>
  <c r="D23" i="3" s="1"/>
  <c r="C24" i="3"/>
  <c r="D24" i="3" s="1"/>
  <c r="C25" i="3"/>
  <c r="D25" i="3" s="1"/>
  <c r="C6" i="3"/>
  <c r="B6" i="3"/>
  <c r="E23" i="1"/>
  <c r="G6" i="6"/>
  <c r="G7" i="5"/>
  <c r="E6" i="3"/>
  <c r="D6" i="3"/>
  <c r="D16" i="3" l="1"/>
  <c r="E16" i="3"/>
  <c r="C16" i="3"/>
</calcChain>
</file>

<file path=xl/sharedStrings.xml><?xml version="1.0" encoding="utf-8"?>
<sst xmlns="http://schemas.openxmlformats.org/spreadsheetml/2006/main" count="842" uniqueCount="209">
  <si>
    <t>KULIAH KERJA NYATA — PEMBELAJARAN PEMBERDAYAAN MASYARAKAT (KKN-PPM)</t>
  </si>
  <si>
    <t>UNIVERSITAS GADJAH MADA</t>
  </si>
  <si>
    <t>DESA REJOAGUNG — KECAMATAN SRONO — KABUPATEN BANYUWANGI — JAWA TIMUR</t>
  </si>
  <si>
    <t>DATABASE INVENTARISASI ASET DESA</t>
  </si>
  <si>
    <t>PROGRAM KERJA TIM KKN-PPM UGM — TAHUN 2026</t>
  </si>
  <si>
    <t>INFORMASI DOKUMEN</t>
  </si>
  <si>
    <t>Lokasi KKN</t>
  </si>
  <si>
    <t>Desa REJOAGUNG, Kec. Srono, Kab. Banyuwangi</t>
  </si>
  <si>
    <t>Program</t>
  </si>
  <si>
    <t>Kuliah Kerja Nyata - Pembelajaran Pemberdayaan Masyarakat (KKN-PPM)</t>
  </si>
  <si>
    <t>Perguruan Tinggi</t>
  </si>
  <si>
    <t>Universitas Gadjah Mada (UGM)</t>
  </si>
  <si>
    <t>Bentuk Kegiatan</t>
  </si>
  <si>
    <t>Pendataan &amp; Digitalisasi Aset Desa</t>
  </si>
  <si>
    <t>Total Aset Terdata</t>
  </si>
  <si>
    <t>Status Dokumen</t>
  </si>
  <si>
    <t>Disusun oleh Tim KKN-PPM UGM sebagai bagian dari program pengabdian masyarakat, bekerja sama dengan Pemerintah Desa Rejoagung</t>
  </si>
  <si>
    <t>PETUNJUK PENGGUNAAN DOKUMEN</t>
  </si>
  <si>
    <t>Konteks Dokumen</t>
  </si>
  <si>
    <t>Database ini disusun oleh Tim Kuliah Kerja Nyata - Pembelajaran Pemberdayaan Masyarakat (KKN-PPM) Universitas Gadjah Mada yang bertugas di Desa Rejoagung, Kecamatan Srono, Kabupaten Banyuwangi, sebagai salah satu program kerja pendataan dan digitalisasi aset desa.</t>
  </si>
  <si>
    <t>Daftar Isi</t>
  </si>
  <si>
    <t>Dokumen ini terdiri dari beberapa sheet: COVER, PETUNJUK, RINGKASAN, INVENTARISASI ASET (induk data), serta sheet per kategori aset (Olahraga, Pemerintahan, Keagamaan, Pendidikan).</t>
  </si>
  <si>
    <t>Sheet RINGKASAN</t>
  </si>
  <si>
    <t>Menampilkan dashboard rekapitulasi jumlah aset, total luas tanah, dan komposisi per kategori maupun status kepemilikan secara otomatis menggunakan rumus, akan menyesuaikan bila data induk diperbarui.</t>
  </si>
  <si>
    <t>Sheet INVENTARISASI ASET</t>
  </si>
  <si>
    <t>Merupakan data induk (master data) seluruh aset desa. Semua sheet kategori bersumber dari sheet ini.</t>
  </si>
  <si>
    <t>Kolom Kondisi</t>
  </si>
  <si>
    <t>Diisi oleh petugas pendata di lapangan: Baik / Cukup / Rusak Ringan / Rusak Berat / Belum Disurvei.</t>
  </si>
  <si>
    <t>Kolom Status Kepemilikan</t>
  </si>
  <si>
    <t>Diisi sesuai dokumen legal yang dimiliki: Hak Milik, Hak Wakaf, Hak Pakai, Kosong bila belum ada dokumen, atau tanda (-) bila belum terverifikasi.</t>
  </si>
  <si>
    <t>Kolom Dokumentasi</t>
  </si>
  <si>
    <t>Disediakan untuk tautan link atau nama berkas foto/dokumen pendukung aset.</t>
  </si>
  <si>
    <t>Sumber Data</t>
  </si>
  <si>
    <t>Data koordinat, luas tanah, dan Zona Nilai Tanah ZNT bersumber dari aplikasi BHUMI, ATR/BPN Republik Indonesia.</t>
  </si>
  <si>
    <t>Pemutakhiran Data</t>
  </si>
  <si>
    <t>Disarankan dilakukan pemutakhiran update minimal 1 tahun sekali atau saat terjadi perubahan status/kondisi aset.</t>
  </si>
  <si>
    <t>LEGENDA WARNA KATEGORI ASET</t>
  </si>
  <si>
    <t>Olahraga</t>
  </si>
  <si>
    <t>Fasilitas Pemerintahan</t>
  </si>
  <si>
    <t>Fasilitas Keagamaan</t>
  </si>
  <si>
    <t>Fasilitas Pendidikan</t>
  </si>
  <si>
    <t>RINGKASAN &amp; REKAPITULASI ASET DESA REJOAGUNG</t>
  </si>
  <si>
    <t>Tahun 2026 — data bersumber dari sheet INVENTARISASI ASET</t>
  </si>
  <si>
    <t>TOTAL ASET TERDATA</t>
  </si>
  <si>
    <t>TOTAL LUAS TANAH</t>
  </si>
  <si>
    <t>JUMLAH KATEGORI</t>
  </si>
  <si>
    <t>ASET BELUM VERIFIKASI</t>
  </si>
  <si>
    <t>m²</t>
  </si>
  <si>
    <t>kategori</t>
  </si>
  <si>
    <t>aset</t>
  </si>
  <si>
    <t>REKAPITULASI PER KATEGORI ASET</t>
  </si>
  <si>
    <t>Kategori Aset</t>
  </si>
  <si>
    <t>Jumlah Aset</t>
  </si>
  <si>
    <t>Total Luas (m²)</t>
  </si>
  <si>
    <t>% dari Total Aset</t>
  </si>
  <si>
    <t>TOTAL</t>
  </si>
  <si>
    <t>REKAPITULASI PER STATUS KEPEMILIKAN</t>
  </si>
  <si>
    <t>Status Kepemilikan</t>
  </si>
  <si>
    <t>% dari Total</t>
  </si>
  <si>
    <t>Hak Milik</t>
  </si>
  <si>
    <t>Hak Wakaf</t>
  </si>
  <si>
    <t>Hak Pakai</t>
  </si>
  <si>
    <t>Kosong (Belum Ada Dokumen)</t>
  </si>
  <si>
    <t>Belum Terverifikasi</t>
  </si>
  <si>
    <t>BUKU INDUK INVENTARISASI ASET DESA REJOAGUNG</t>
  </si>
  <si>
    <t>NOMOR</t>
  </si>
  <si>
    <t>NAMA ASET</t>
  </si>
  <si>
    <t>KATEGORI ASET</t>
  </si>
  <si>
    <t>ALAMAT / LOKASI</t>
  </si>
  <si>
    <t>KOORDINAT</t>
  </si>
  <si>
    <t>KONDISI</t>
  </si>
  <si>
    <t>STATUS KEPEMILIKAN</t>
  </si>
  <si>
    <t>FUNGSI / MANFAAT</t>
  </si>
  <si>
    <t>LUAS TANAH (m²)</t>
  </si>
  <si>
    <t>RENTANG NILAI TANAH (Rp/m²)</t>
  </si>
  <si>
    <t>DOKUMENTASI</t>
  </si>
  <si>
    <t>KETERANGAN</t>
  </si>
  <si>
    <t>"RSC" Rejoagung Sport Center</t>
  </si>
  <si>
    <t>-8.386578222828776, 114.29964314279374</t>
  </si>
  <si>
    <t>Kosong</t>
  </si>
  <si>
    <t>Sarana olahraga dan kegiatan masyarakat</t>
  </si>
  <si>
    <t>Rp 200.000 - 500.000</t>
  </si>
  <si>
    <t>Data luas dan ZNT diperoleh dari BHUMI ATR/BPN</t>
  </si>
  <si>
    <t>Kantor Desa Rejoagung</t>
  </si>
  <si>
    <t>-8.379284867742802, 114.30870560851228</t>
  </si>
  <si>
    <t>-</t>
  </si>
  <si>
    <t>Lapangan Rejoagung</t>
  </si>
  <si>
    <t>Sumbergroto, Rejoagung, Srono, Banyuwangi Regency, East Java 68471</t>
  </si>
  <si>
    <t>-8.39385251488808, 114.31367960376035</t>
  </si>
  <si>
    <t>Masjid Al Ikhlas</t>
  </si>
  <si>
    <t>-8.366465375488302, 114.30756580829103</t>
  </si>
  <si>
    <t>Masjid An-Nur Leba'an</t>
  </si>
  <si>
    <t>-8.386299720090896, 114.3124985001481</t>
  </si>
  <si>
    <t>Masjid Baitul Jannah</t>
  </si>
  <si>
    <t>-8.370069386523198, 114.31632502104387</t>
  </si>
  <si>
    <t>MI Al Ma'arif Rejoagung</t>
  </si>
  <si>
    <t>Jl. K. Sidik Sumberagung, RT.01/RW.02, Krajan, Rejoagung, Kec. Srono, Kabupaten Banyuwangi, Jawa Timur 68471</t>
  </si>
  <si>
    <t>-8.39081874694406, 114.30315637211939</t>
  </si>
  <si>
    <t>Masjid At-Taqwa</t>
  </si>
  <si>
    <t>J8G4+GJ8, Sumberagung, Rejoagung, Kec. Srono, Kabupaten Banyuwangi, Jawa Timur 68471</t>
  </si>
  <si>
    <t>-8.387233807742788, 114.30742397932381</t>
  </si>
  <si>
    <t>Mushola At-Taubat</t>
  </si>
  <si>
    <t>-8.377004038390757, 114.31088265731704</t>
  </si>
  <si>
    <t>Mushola Baburrohmah</t>
  </si>
  <si>
    <t>-8.36847470108048, 114.31244429110217</t>
  </si>
  <si>
    <t>Mushola Jabal Nur</t>
  </si>
  <si>
    <t>-8.380062774300711, 114.30708876415044</t>
  </si>
  <si>
    <t>Mushola Kalingga Murdha</t>
  </si>
  <si>
    <t>-8.368957249623543, 114.31241713585393</t>
  </si>
  <si>
    <t>Mushola Thoriqul Jannah</t>
  </si>
  <si>
    <t>-8.385277463077681, 114.30605723050775</t>
  </si>
  <si>
    <t>Pondok Pesantren Al Falah Rejoagung</t>
  </si>
  <si>
    <t>-8.392413922264918, 114.3030527456301</t>
  </si>
  <si>
    <t>Pondok Pesantren Darussalam</t>
  </si>
  <si>
    <t>Sumberagung, Rejoagung, Srono, Banyuwangi Regency, East Java 68471</t>
  </si>
  <si>
    <t>-8.380903395592108, 114.30651672178539</t>
  </si>
  <si>
    <t>Pondok Pesantren Salaf Darussalam</t>
  </si>
  <si>
    <t>-8.379962920585527, 114.30589903388307</t>
  </si>
  <si>
    <t>SD N 2 Rejoagung</t>
  </si>
  <si>
    <t>-8.38371989423114, 114.30684837623363</t>
  </si>
  <si>
    <t>SDN 1 Rejoagung Srono</t>
  </si>
  <si>
    <t>-8.384832643030498, 114.30244043462609</t>
  </si>
  <si>
    <t>SMK NU Darussalam</t>
  </si>
  <si>
    <t>-8.379481745217138, 114.30513978613338</t>
  </si>
  <si>
    <t>SMP Al Amiriyyah</t>
  </si>
  <si>
    <t>-8.379783589292682, 114.30614657693447</t>
  </si>
  <si>
    <t>TK Khadijah 203 Rejoagung</t>
  </si>
  <si>
    <t>-8.379039074344961, 114.30950814137796</t>
  </si>
  <si>
    <t>MTs Unggulan Darussalam</t>
  </si>
  <si>
    <t>-8.380819737094548, 114.30636920358351</t>
  </si>
  <si>
    <t>DAFTAR ASET DESA REJOAGUNG — KATEGORI OLAHRAGA</t>
  </si>
  <si>
    <t>TOTAL ASET KATEGORI OLAHRAGA: 2</t>
  </si>
  <si>
    <t>DAFTAR ASET DESA REJOAGUNG — KATEGORI FASILITAS PEMERINTAHAN</t>
  </si>
  <si>
    <t>TOTAL ASET KATEGORI FASILITAS PEMERINTAHAN: 1</t>
  </si>
  <si>
    <t>DAFTAR ASET DESA REJOAGUNG — KATEGORI FASILITAS KEAGAMAAN</t>
  </si>
  <si>
    <t>DAFTAR ASET DESA REJOAGUNG — KATEGORI FASILITAS PENDIDIKAN</t>
  </si>
  <si>
    <t>Sumberagung, Rejoagung, Kec. Srono, Kabupaten Banyuwangi, Jawa Timur 68471</t>
  </si>
  <si>
    <t xml:space="preserve"> Sumberagung, Rejoagung, Kec. Srono, Kabupaten Banyuwangi, Jawa Timur 68471</t>
  </si>
  <si>
    <t>Rejoagung, Srono, Sumberagung, Rejoagung, Kabupaten Banyuwangi, Jawa Timur 68471</t>
  </si>
  <si>
    <t>Sumbergroto, Rejoagung, Kec. Srono, Kabupaten Banyuwangi, Jawa Timur 68471</t>
  </si>
  <si>
    <t>Jl. K. Sidik, Sumberagung, Rejoagung, Kec. Srono, Kabupaten Banyuwangi, Jawa Timur 68471</t>
  </si>
  <si>
    <t>Mushola Darul Muttaqin</t>
  </si>
  <si>
    <t>-8.370588982656958, 114.30552166084222</t>
  </si>
  <si>
    <t>Krajan Baru, Wonosobo, Kec. Srono, Kabupaten Banyuwangi, Jawa Timur 68471</t>
  </si>
  <si>
    <t>J7CX+45M, Sumberagung, Rejoagung, Kec. Srono, Kabupaten Banyuwangi, Jawa Timur 68471</t>
  </si>
  <si>
    <t>Masjid Baitul Muttaqin</t>
  </si>
  <si>
    <t>-8.3745529117934, 114.29596958812195</t>
  </si>
  <si>
    <t>J895+WPG, Sumberagung, Rejoagung, Kec. Srono, Kabupaten Banyuwangi, Jawa Timur 68471</t>
  </si>
  <si>
    <t>-8.379225810287183, 114.30951862395573</t>
  </si>
  <si>
    <t>J8F8+QGX, Sumbergroto, Rejoagung, Kec. Srono, Kabupaten Banyuwangi, Jawa Timur 68471</t>
  </si>
  <si>
    <t>Mushola An- Nur</t>
  </si>
  <si>
    <t>J8C4+3XR, Rw05, Sumberagung, Rejoagung, Kec. Srono, Kabupaten Banyuwangi, Jawa Timur Rt04</t>
  </si>
  <si>
    <t>Mushola Darul Ulum</t>
  </si>
  <si>
    <t>Mushola Darun Najah</t>
  </si>
  <si>
    <t>Pondok Pesantren Tasmirul Aulad</t>
  </si>
  <si>
    <t>J862+874, Krajan, Bagorejo, Kec. Srono, Kabupaten Banyuwangi, Jawa Timur 68471</t>
  </si>
  <si>
    <t>-8.388322351424963, 114.30066760943339</t>
  </si>
  <si>
    <t>-8.379459799662053, 114.30742175759421</t>
  </si>
  <si>
    <t>-8.373982781454673, 114.31535036698165</t>
  </si>
  <si>
    <t>Komis Wetan, Wonosobo, Srono, Banyuwangi Regency, East Java 68471</t>
  </si>
  <si>
    <t>-8.386535683926379, 114.29865965351496</t>
  </si>
  <si>
    <t>Masjid Al- Barokah</t>
  </si>
  <si>
    <t>Masjid Baitur Rohim</t>
  </si>
  <si>
    <t>Dusun sumber groto kidul, Krajan, Rejoagung, Kec. Srono, Kabupaten Banyuwangi, Jawa Timur 68471</t>
  </si>
  <si>
    <t>-8.391762373082608, 114.31243349014066</t>
  </si>
  <si>
    <t>Masjid LDII Rejoagung</t>
  </si>
  <si>
    <t>J856+5M8, Krajan, Bagorejo, Kec. Srono, Kabupaten Banyuwangi, Jawa Timur 68471</t>
  </si>
  <si>
    <t>-8.391334183874681, 114.3116625034335</t>
  </si>
  <si>
    <t>J853+G8V, Krajan, Bagorejo, Kec. Srono, Kabupaten Banyuwangi, Jawa Timur 68471</t>
  </si>
  <si>
    <t>TK Khodijah 88</t>
  </si>
  <si>
    <t>-8.390437847705298, 114.3032114419751</t>
  </si>
  <si>
    <t>J892+J36, Komis Wetan, Wonosobo, Kec. Srono, Kabupaten Banyuwangi, Jawa Timur 68471</t>
  </si>
  <si>
    <t>Mushola Sumilah</t>
  </si>
  <si>
    <t>-8.38076142075084, 114.30019057276628</t>
  </si>
  <si>
    <t>-8.393378385029692, 114.31666357904783</t>
  </si>
  <si>
    <t>J848+JM4, Sumbergroto, Rejoagung, Kec. Srono, Kabupaten Banyuwangi, Jawa Timur 68471</t>
  </si>
  <si>
    <t>Masjid Baitul Murtasyidin</t>
  </si>
  <si>
    <t>Mushola At- Taqwa</t>
  </si>
  <si>
    <t>-8.370308749824847, 114.30595098913615</t>
  </si>
  <si>
    <t>-8.392727790939517, 114.30515327107484</t>
  </si>
  <si>
    <t>Mushola Nurul Hidayah</t>
  </si>
  <si>
    <t>J844+R4R, Krajan, Bagorejo, Kec. Srono, Kabupaten Banyuwangi, Jawa Timur 68471</t>
  </si>
  <si>
    <t>J78V+QVW, Komis Wetan, Rejoagung, Kec. Srono, Kabupaten Jombang, Jawa Timur 68471</t>
  </si>
  <si>
    <t>SLB Bina Insani Srono</t>
  </si>
  <si>
    <t>-8.382526429844281, 114.29464902693765</t>
  </si>
  <si>
    <t>J845+3VW, Krajan, Bagorejo, Kec. Srono, Kabupaten Banyuwangi, Jawa Timur 68471</t>
  </si>
  <si>
    <t>Masjid Nurul Huda</t>
  </si>
  <si>
    <t>-8.39334809744074, 114.30988278497604</t>
  </si>
  <si>
    <t>-8.399105240156278, 114.31087145455798</t>
  </si>
  <si>
    <t>Masjid Al- Amien</t>
  </si>
  <si>
    <t>J826+499, Limbul Rejo, Bagorejo, Kec. Srono, Kabupaten Banyuwangi, Jawa Timur 68471</t>
  </si>
  <si>
    <t>-8.383016832891528, 114.29831019785203</t>
  </si>
  <si>
    <t>Mushola Al- Ukhuwah</t>
  </si>
  <si>
    <t>J78X+J7W, Komis Wetan, Wonosobo, Kec. Srono, Kabupaten Banyuwangi, Jawa Timur 68471</t>
  </si>
  <si>
    <t>J76W+V6R, Komis Wetan, Wonosobo, Kec. Srono, Kabupaten Banyuwangi, Jawa Timur 68471</t>
  </si>
  <si>
    <t>Mushola Al- Hidayah</t>
  </si>
  <si>
    <t>-8.38732425057026, 114.29533124470562</t>
  </si>
  <si>
    <t>Masjid Baitul Arifin</t>
  </si>
  <si>
    <t>J853+P6X, Krajan, Bagorejo, Kec. Srono, Kabupaten Banyuwangi, Jawa Timur 68471</t>
  </si>
  <si>
    <t>-8.390155125683997, 114.30315291141804</t>
  </si>
  <si>
    <t>Mushola Al- Bashar</t>
  </si>
  <si>
    <t>J842+FRH, Krajan, Bagorejo, Kec. Srono, Kabupaten Banyuwangi, Jawa Timur 68471</t>
  </si>
  <si>
    <t>-8.393650577410154, 114.3021752440881</t>
  </si>
  <si>
    <t>jln.kh.askandar no.01 berasan, wringinputih, Dusun Krajan, Wringin Putih, Kec. Muncar, Kabupaten Banyuwangi, Jawa Timur 68472</t>
  </si>
  <si>
    <t>Pondok Pesantren Manbaul Ulum</t>
  </si>
  <si>
    <t>-8.480565423453887, 114.33467181526635</t>
  </si>
  <si>
    <t>Sarana penyelenggaraan pemerintahan, pelayanan administrasi, dan pelayanan kepada masyarakat desa.</t>
  </si>
  <si>
    <t>Sarana penyelenggaraan kegiatan pendidikan, pembelajaran, dan pengembangan sumber daya manusia.</t>
  </si>
  <si>
    <t>Sarana pelaksanaan ibadah, kegiatan keagamaan, dan pembinaan kehidupan beragama masyarakat.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</si>
</sst>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²&quot;"/>
    <numFmt numFmtId="165" formatCode="0.0%"/>
  </numFmts>
  <fonts count="36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3"/>
      <color rgb="FFC99A2E"/>
      <name val="Calibri"/>
      <charset val="1"/>
    </font>
    <font>
      <b/>
      <sz val="10.5"/>
      <color rgb="FF595959"/>
      <name val="Calibri"/>
      <charset val="1"/>
    </font>
    <font>
      <b/>
      <sz val="26"/>
      <color rgb="FF1F3864"/>
      <name val="Calibri"/>
      <charset val="1"/>
    </font>
    <font>
      <b/>
      <sz val="11"/>
      <color rgb="FFFFFFFF"/>
      <name val="Calibri"/>
      <charset val="1"/>
    </font>
    <font>
      <b/>
      <sz val="10.5"/>
      <color rgb="FF1F3864"/>
      <name val="Calibri"/>
      <charset val="1"/>
    </font>
    <font>
      <sz val="10.5"/>
      <color rgb="FF000000"/>
      <name val="Calibri"/>
      <charset val="1"/>
    </font>
    <font>
      <i/>
      <sz val="9.5"/>
      <color rgb="FF595959"/>
      <name val="Calibri"/>
      <charset val="1"/>
    </font>
    <font>
      <b/>
      <sz val="16"/>
      <color rgb="FF1F3864"/>
      <name val="Calibri"/>
      <charset val="1"/>
    </font>
    <font>
      <b/>
      <sz val="10.5"/>
      <color rgb="FFFFFFFF"/>
      <name val="Calibri"/>
      <charset val="1"/>
    </font>
    <font>
      <sz val="10.5"/>
      <name val="Calibri"/>
      <charset val="1"/>
    </font>
    <font>
      <b/>
      <sz val="11"/>
      <color rgb="FF1F3864"/>
      <name val="Calibri"/>
      <charset val="1"/>
    </font>
    <font>
      <b/>
      <sz val="10"/>
      <color rgb="FF2E7D32"/>
      <name val="Calibri"/>
      <charset val="1"/>
    </font>
    <font>
      <b/>
      <sz val="10"/>
      <color rgb="FF1565C0"/>
      <name val="Calibri"/>
      <charset val="1"/>
    </font>
    <font>
      <b/>
      <sz val="10"/>
      <color rgb="FF8D6E1B"/>
      <name val="Calibri"/>
      <charset val="1"/>
    </font>
    <font>
      <b/>
      <sz val="10"/>
      <color rgb="FF5B4B8A"/>
      <name val="Calibri"/>
      <charset val="1"/>
    </font>
    <font>
      <b/>
      <sz val="15"/>
      <color rgb="FF1F3864"/>
      <name val="Calibri"/>
      <charset val="1"/>
    </font>
    <font>
      <i/>
      <sz val="10"/>
      <color rgb="FF595959"/>
      <name val="Calibri"/>
      <charset val="1"/>
    </font>
    <font>
      <b/>
      <sz val="9"/>
      <color rgb="FFFFFFFF"/>
      <name val="Calibri"/>
      <charset val="1"/>
    </font>
    <font>
      <b/>
      <sz val="18"/>
      <color rgb="FF1F3864"/>
      <name val="Calibri"/>
      <charset val="1"/>
    </font>
    <font>
      <i/>
      <sz val="8.5"/>
      <color rgb="FF595959"/>
      <name val="Calibri"/>
      <charset val="1"/>
    </font>
    <font>
      <b/>
      <sz val="12"/>
      <color rgb="FF1F3864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4"/>
      <color rgb="FF1F3864"/>
      <name val="Calibri"/>
      <charset val="1"/>
    </font>
    <font>
      <b/>
      <sz val="13"/>
      <color rgb="FF2E7D32"/>
      <name val="Calibri"/>
      <charset val="1"/>
    </font>
    <font>
      <b/>
      <sz val="13"/>
      <color rgb="FF1565C0"/>
      <name val="Calibri"/>
      <charset val="1"/>
    </font>
    <font>
      <b/>
      <sz val="13"/>
      <color rgb="FF8D6E1B"/>
      <name val="Calibri"/>
      <charset val="1"/>
    </font>
    <font>
      <b/>
      <sz val="13"/>
      <color rgb="FF5B4B8A"/>
      <name val="Calibri"/>
      <charset val="1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color theme="6" tint="-0.499984740745262"/>
      <name val="Calibri"/>
      <family val="2"/>
    </font>
    <font>
      <b/>
      <sz val="10"/>
      <color theme="7" tint="-0.249977111117893"/>
      <name val="Calibri"/>
      <family val="2"/>
    </font>
    <font>
      <b/>
      <sz val="10"/>
      <name val="Calibri"/>
      <family val="2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FFFFFF"/>
        <bgColor rgb="FFF4F6F9"/>
      </patternFill>
    </fill>
    <fill>
      <patternFill patternType="solid">
        <fgColor rgb="FFC99A2E"/>
        <bgColor rgb="FF969696"/>
      </patternFill>
    </fill>
    <fill>
      <patternFill patternType="solid">
        <fgColor rgb="FF2E5090"/>
        <bgColor rgb="FF1F3864"/>
      </patternFill>
    </fill>
    <fill>
      <patternFill patternType="solid">
        <fgColor rgb="FFF4F6F9"/>
        <bgColor rgb="FFE9EEF6"/>
      </patternFill>
    </fill>
    <fill>
      <patternFill patternType="solid">
        <fgColor rgb="FFE7F3E8"/>
        <bgColor rgb="FFE9EEF6"/>
      </patternFill>
    </fill>
    <fill>
      <patternFill patternType="solid">
        <fgColor rgb="FFE5EEFB"/>
        <bgColor rgb="FFE9EEF6"/>
      </patternFill>
    </fill>
    <fill>
      <patternFill patternType="solid">
        <fgColor rgb="FFF5EEDA"/>
        <bgColor rgb="FFE7F3E8"/>
      </patternFill>
    </fill>
    <fill>
      <patternFill patternType="solid">
        <fgColor rgb="FFECE7F5"/>
        <bgColor rgb="FFE9EEF6"/>
      </patternFill>
    </fill>
    <fill>
      <patternFill patternType="solid">
        <fgColor rgb="FFE9EEF6"/>
        <bgColor rgb="FFE5EEFB"/>
      </patternFill>
    </fill>
    <fill>
      <patternFill patternType="solid">
        <fgColor theme="7" tint="0.79998168889431442"/>
        <bgColor rgb="FFE9EEF6"/>
      </patternFill>
    </fill>
    <fill>
      <patternFill patternType="solid">
        <fgColor theme="6" tint="0.79998168889431442"/>
        <bgColor rgb="FFE9EEF6"/>
      </patternFill>
    </fill>
  </fills>
  <borders count="2">
    <border>
      <left/>
      <right/>
      <top/>
      <bottom/>
      <diagonal/>
    </border>
    <border>
      <left style="thin">
        <color rgb="FFB9C2D0"/>
      </left>
      <right style="thin">
        <color rgb="FFB9C2D0"/>
      </right>
      <top style="thin">
        <color rgb="FFB9C2D0"/>
      </top>
      <bottom style="thin">
        <color rgb="FFB9C2D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10" fillId="5" borderId="1" xfId="0" applyFont="1" applyFill="1" applyBorder="1" applyAlignment="1">
      <alignment vertical="center" indent="1"/>
    </xf>
    <xf numFmtId="0" fontId="11" fillId="6" borderId="1" xfId="0" applyFont="1" applyFill="1" applyBorder="1" applyAlignment="1">
      <alignment vertical="center" wrapText="1" indent="1"/>
    </xf>
    <xf numFmtId="0" fontId="11" fillId="3" borderId="1" xfId="0" applyFont="1" applyFill="1" applyBorder="1" applyAlignment="1">
      <alignment vertical="center" wrapText="1" indent="1"/>
    </xf>
    <xf numFmtId="0" fontId="12" fillId="0" borderId="0" xfId="0" applyFont="1"/>
    <xf numFmtId="0" fontId="13" fillId="7" borderId="1" xfId="0" applyFont="1" applyFill="1" applyBorder="1" applyAlignment="1">
      <alignment horizontal="center" vertical="center" indent="1"/>
    </xf>
    <xf numFmtId="0" fontId="14" fillId="8" borderId="1" xfId="0" applyFont="1" applyFill="1" applyBorder="1" applyAlignment="1">
      <alignment horizontal="center" vertical="center" indent="1"/>
    </xf>
    <xf numFmtId="0" fontId="15" fillId="9" borderId="1" xfId="0" applyFont="1" applyFill="1" applyBorder="1" applyAlignment="1">
      <alignment horizontal="center" vertical="center" indent="1"/>
    </xf>
    <xf numFmtId="0" fontId="16" fillId="10" borderId="1" xfId="0" applyFont="1" applyFill="1" applyBorder="1" applyAlignment="1">
      <alignment horizontal="center" vertical="center" indent="1"/>
    </xf>
    <xf numFmtId="0" fontId="19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indent="1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 indent="1"/>
    </xf>
    <xf numFmtId="0" fontId="16" fillId="10" borderId="1" xfId="0" applyFont="1" applyFill="1" applyBorder="1" applyAlignment="1">
      <alignment horizontal="left" vertical="center" indent="1"/>
    </xf>
    <xf numFmtId="0" fontId="23" fillId="2" borderId="1" xfId="0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165" fontId="23" fillId="2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indent="1"/>
    </xf>
    <xf numFmtId="0" fontId="24" fillId="11" borderId="1" xfId="0" applyFont="1" applyFill="1" applyBorder="1" applyAlignment="1">
      <alignment horizontal="center" vertical="center"/>
    </xf>
    <xf numFmtId="165" fontId="24" fillId="11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 indent="1"/>
    </xf>
    <xf numFmtId="164" fontId="24" fillId="0" borderId="1" xfId="0" applyNumberFormat="1" applyFont="1" applyBorder="1" applyAlignment="1">
      <alignment horizontal="right" vertical="center" indent="1"/>
    </xf>
    <xf numFmtId="0" fontId="24" fillId="11" borderId="1" xfId="0" applyFont="1" applyFill="1" applyBorder="1" applyAlignment="1">
      <alignment horizontal="left" vertical="center" wrapText="1" indent="1"/>
    </xf>
    <xf numFmtId="0" fontId="14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64" fontId="24" fillId="11" borderId="1" xfId="0" applyNumberFormat="1" applyFont="1" applyFill="1" applyBorder="1" applyAlignment="1">
      <alignment horizontal="right" vertical="center" indent="1"/>
    </xf>
    <xf numFmtId="164" fontId="2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0" fillId="0" borderId="0" xfId="0" applyFont="1"/>
    <xf numFmtId="0" fontId="31" fillId="0" borderId="1" xfId="0" applyFont="1" applyBorder="1" applyAlignment="1">
      <alignment horizontal="left" vertical="center" wrapText="1" indent="1"/>
    </xf>
    <xf numFmtId="0" fontId="31" fillId="11" borderId="1" xfId="0" applyFont="1" applyFill="1" applyBorder="1" applyAlignment="1">
      <alignment horizontal="left" vertical="center" wrapText="1" indent="1"/>
    </xf>
    <xf numFmtId="0" fontId="32" fillId="13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left" vertical="center" wrapText="1" indent="1"/>
    </xf>
    <xf numFmtId="0" fontId="34" fillId="0" borderId="1" xfId="0" applyFont="1" applyBorder="1" applyAlignment="1">
      <alignment horizontal="left" vertical="center" wrapText="1" indent="1"/>
    </xf>
    <xf numFmtId="3" fontId="24" fillId="11" borderId="1" xfId="0" applyNumberFormat="1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/>
    <xf numFmtId="0" fontId="4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7" fillId="0" borderId="0" xfId="0" applyFont="1"/>
    <xf numFmtId="0" fontId="18" fillId="0" borderId="0" xfId="0" applyFont="1"/>
    <xf numFmtId="0" fontId="22" fillId="0" borderId="0" xfId="0" applyFont="1"/>
    <xf numFmtId="0" fontId="26" fillId="7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left" vertical="center" indent="1"/>
    </xf>
    <xf numFmtId="0" fontId="27" fillId="8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10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5EEFB"/>
          <bgColor rgb="FFE9EEF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D6E1B"/>
      <rgbColor rgb="FF800080"/>
      <rgbColor rgb="FF008080"/>
      <rgbColor rgb="FFB9C2D0"/>
      <rgbColor rgb="FF808080"/>
      <rgbColor rgb="FF9999FF"/>
      <rgbColor rgb="FF993366"/>
      <rgbColor rgb="FFF5EEDA"/>
      <rgbColor rgb="FFE5EEFB"/>
      <rgbColor rgb="FF660066"/>
      <rgbColor rgb="FFFF8080"/>
      <rgbColor rgb="FF1565C0"/>
      <rgbColor rgb="FFECE7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E8"/>
      <rgbColor rgb="FFE9EEF6"/>
      <rgbColor rgb="FFF4F6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5B4B8A"/>
      <rgbColor rgb="FF969696"/>
      <rgbColor rgb="FF1F3864"/>
      <rgbColor rgb="FF2E7D32"/>
      <rgbColor rgb="FF003300"/>
      <rgbColor rgb="FF333300"/>
      <rgbColor rgb="FF993300"/>
      <rgbColor rgb="FF993366"/>
      <rgbColor rgb="FF2E5090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opLeftCell="A22" zoomScaleNormal="100" workbookViewId="0">
      <selection activeCell="E24" sqref="E24:F24"/>
    </sheetView>
  </sheetViews>
  <sheetFormatPr defaultColWidth="8.6328125" defaultRowHeight="14.5" x14ac:dyDescent="0.35"/>
  <cols>
    <col min="1" max="1" width="4" customWidth="1"/>
    <col min="2" max="5" width="14" customWidth="1"/>
    <col min="6" max="6" width="36.26953125" customWidth="1"/>
    <col min="7" max="8" width="14" customWidth="1"/>
    <col min="9" max="9" width="4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55" t="s">
        <v>0</v>
      </c>
      <c r="C2" s="55"/>
      <c r="D2" s="55"/>
      <c r="E2" s="55"/>
      <c r="F2" s="55"/>
      <c r="G2" s="55"/>
      <c r="H2" s="55"/>
      <c r="I2" s="1"/>
    </row>
    <row r="3" spans="1:9" x14ac:dyDescent="0.35">
      <c r="A3" s="1"/>
      <c r="B3" s="55"/>
      <c r="C3" s="55"/>
      <c r="D3" s="55"/>
      <c r="E3" s="55"/>
      <c r="F3" s="55"/>
      <c r="G3" s="55"/>
      <c r="H3" s="55"/>
      <c r="I3" s="1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ht="17" x14ac:dyDescent="0.4">
      <c r="A6" s="2"/>
      <c r="B6" s="56" t="s">
        <v>1</v>
      </c>
      <c r="C6" s="56"/>
      <c r="D6" s="56"/>
      <c r="E6" s="56"/>
      <c r="F6" s="56"/>
      <c r="G6" s="56"/>
      <c r="H6" s="56"/>
      <c r="I6" s="2"/>
    </row>
    <row r="7" spans="1:9" x14ac:dyDescent="0.35">
      <c r="A7" s="2"/>
      <c r="B7" s="57" t="s">
        <v>2</v>
      </c>
      <c r="C7" s="57"/>
      <c r="D7" s="57"/>
      <c r="E7" s="57"/>
      <c r="F7" s="57"/>
      <c r="G7" s="57"/>
      <c r="H7" s="57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ht="3.75" customHeight="1" x14ac:dyDescent="0.35">
      <c r="A9" s="2"/>
      <c r="B9" s="2"/>
      <c r="C9" s="58"/>
      <c r="D9" s="58"/>
      <c r="E9" s="58"/>
      <c r="F9" s="58"/>
      <c r="G9" s="58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59" t="s">
        <v>3</v>
      </c>
      <c r="C12" s="59"/>
      <c r="D12" s="59"/>
      <c r="E12" s="59"/>
      <c r="F12" s="59"/>
      <c r="G12" s="59"/>
      <c r="H12" s="59"/>
      <c r="I12" s="2"/>
    </row>
    <row r="13" spans="1:9" x14ac:dyDescent="0.35">
      <c r="A13" s="2"/>
      <c r="B13" s="59"/>
      <c r="C13" s="59"/>
      <c r="D13" s="59"/>
      <c r="E13" s="59"/>
      <c r="F13" s="59"/>
      <c r="G13" s="59"/>
      <c r="H13" s="59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ht="17" x14ac:dyDescent="0.4">
      <c r="A15" s="2"/>
      <c r="B15" s="56" t="s">
        <v>4</v>
      </c>
      <c r="C15" s="56"/>
      <c r="D15" s="56"/>
      <c r="E15" s="56"/>
      <c r="F15" s="56"/>
      <c r="G15" s="56"/>
      <c r="H15" s="56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21.75" customHeight="1" x14ac:dyDescent="0.35">
      <c r="A18" s="2"/>
      <c r="B18" s="2"/>
      <c r="C18" s="60" t="s">
        <v>5</v>
      </c>
      <c r="D18" s="60"/>
      <c r="E18" s="60"/>
      <c r="F18" s="60"/>
      <c r="G18" s="2"/>
      <c r="H18" s="2"/>
      <c r="I18" s="2"/>
    </row>
    <row r="19" spans="1:9" ht="19.5" customHeight="1" x14ac:dyDescent="0.35">
      <c r="A19" s="2"/>
      <c r="B19" s="2"/>
      <c r="C19" s="61" t="s">
        <v>6</v>
      </c>
      <c r="D19" s="61"/>
      <c r="E19" s="62" t="s">
        <v>7</v>
      </c>
      <c r="F19" s="62"/>
      <c r="G19" s="2"/>
      <c r="H19" s="2"/>
      <c r="I19" s="2"/>
    </row>
    <row r="20" spans="1:9" ht="19.5" customHeight="1" x14ac:dyDescent="0.35">
      <c r="A20" s="2"/>
      <c r="B20" s="2"/>
      <c r="C20" s="61" t="s">
        <v>8</v>
      </c>
      <c r="D20" s="61"/>
      <c r="E20" s="62" t="s">
        <v>9</v>
      </c>
      <c r="F20" s="62"/>
      <c r="G20" s="2"/>
      <c r="H20" s="2"/>
      <c r="I20" s="2"/>
    </row>
    <row r="21" spans="1:9" ht="19.5" customHeight="1" x14ac:dyDescent="0.35">
      <c r="A21" s="2"/>
      <c r="B21" s="2"/>
      <c r="C21" s="61" t="s">
        <v>10</v>
      </c>
      <c r="D21" s="61"/>
      <c r="E21" s="62" t="s">
        <v>11</v>
      </c>
      <c r="F21" s="62"/>
      <c r="G21" s="2"/>
      <c r="H21" s="2"/>
      <c r="I21" s="2"/>
    </row>
    <row r="22" spans="1:9" ht="19.5" customHeight="1" x14ac:dyDescent="0.35">
      <c r="A22" s="2"/>
      <c r="B22" s="2"/>
      <c r="C22" s="61" t="s">
        <v>12</v>
      </c>
      <c r="D22" s="61"/>
      <c r="E22" s="62" t="s">
        <v>13</v>
      </c>
      <c r="F22" s="62"/>
      <c r="G22" s="2"/>
      <c r="H22" s="2"/>
      <c r="I22" s="2"/>
    </row>
    <row r="23" spans="1:9" ht="19.5" customHeight="1" x14ac:dyDescent="0.35">
      <c r="A23" s="2"/>
      <c r="B23" s="2"/>
      <c r="C23" s="61" t="s">
        <v>14</v>
      </c>
      <c r="D23" s="61"/>
      <c r="E23" s="62">
        <f>44</f>
        <v>44</v>
      </c>
      <c r="F23" s="62"/>
      <c r="G23" s="2"/>
      <c r="H23" s="2"/>
      <c r="I23" s="2"/>
    </row>
    <row r="24" spans="1:9" ht="19.5" customHeight="1" x14ac:dyDescent="0.35">
      <c r="A24" s="2"/>
      <c r="B24" s="2"/>
      <c r="C24" s="61" t="s">
        <v>15</v>
      </c>
      <c r="D24" s="61"/>
      <c r="E24" s="62"/>
      <c r="F24" s="6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63" t="s">
        <v>16</v>
      </c>
      <c r="C28" s="63"/>
      <c r="D28" s="63"/>
      <c r="E28" s="63"/>
      <c r="F28" s="63"/>
      <c r="G28" s="63"/>
      <c r="H28" s="63"/>
      <c r="I28" s="2"/>
    </row>
    <row r="29" spans="1:9" x14ac:dyDescent="0.3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</sheetData>
  <mergeCells count="20">
    <mergeCell ref="C24:D24"/>
    <mergeCell ref="E24:F24"/>
    <mergeCell ref="B28:H28"/>
    <mergeCell ref="C21:D21"/>
    <mergeCell ref="E21:F21"/>
    <mergeCell ref="C22:D22"/>
    <mergeCell ref="E22:F22"/>
    <mergeCell ref="C23:D23"/>
    <mergeCell ref="E23:F23"/>
    <mergeCell ref="B15:H15"/>
    <mergeCell ref="C18:F18"/>
    <mergeCell ref="C19:D19"/>
    <mergeCell ref="E19:F19"/>
    <mergeCell ref="C20:D20"/>
    <mergeCell ref="E20:F20"/>
    <mergeCell ref="B2:H3"/>
    <mergeCell ref="B6:H6"/>
    <mergeCell ref="B7:H7"/>
    <mergeCell ref="C9:G9"/>
    <mergeCell ref="B12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9"/>
  <sheetViews>
    <sheetView showGridLines="0" topLeftCell="A6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70" customWidth="1"/>
    <col min="4" max="4" width="3" customWidth="1"/>
  </cols>
  <sheetData>
    <row r="2" spans="2:3" ht="27.75" customHeight="1" x14ac:dyDescent="0.5">
      <c r="B2" s="64" t="s">
        <v>17</v>
      </c>
      <c r="C2" s="64"/>
    </row>
    <row r="4" spans="2:3" ht="53" customHeight="1" x14ac:dyDescent="0.35">
      <c r="B4" s="3" t="s">
        <v>18</v>
      </c>
      <c r="C4" s="4" t="s">
        <v>19</v>
      </c>
    </row>
    <row r="5" spans="2:3" ht="39.75" customHeight="1" x14ac:dyDescent="0.35">
      <c r="B5" s="3" t="s">
        <v>20</v>
      </c>
      <c r="C5" s="5" t="s">
        <v>21</v>
      </c>
    </row>
    <row r="6" spans="2:3" ht="39.75" customHeight="1" x14ac:dyDescent="0.35">
      <c r="B6" s="3" t="s">
        <v>22</v>
      </c>
      <c r="C6" s="5" t="s">
        <v>23</v>
      </c>
    </row>
    <row r="7" spans="2:3" ht="39.75" customHeight="1" x14ac:dyDescent="0.35">
      <c r="B7" s="3" t="s">
        <v>24</v>
      </c>
      <c r="C7" s="5" t="s">
        <v>25</v>
      </c>
    </row>
    <row r="8" spans="2:3" ht="39.75" customHeight="1" x14ac:dyDescent="0.35">
      <c r="B8" s="3" t="s">
        <v>26</v>
      </c>
      <c r="C8" s="4" t="s">
        <v>27</v>
      </c>
    </row>
    <row r="9" spans="2:3" ht="39.75" customHeight="1" x14ac:dyDescent="0.35">
      <c r="B9" s="3" t="s">
        <v>28</v>
      </c>
      <c r="C9" s="5" t="s">
        <v>29</v>
      </c>
    </row>
    <row r="10" spans="2:3" ht="39.75" customHeight="1" x14ac:dyDescent="0.35">
      <c r="B10" s="3" t="s">
        <v>30</v>
      </c>
      <c r="C10" s="5" t="s">
        <v>31</v>
      </c>
    </row>
    <row r="11" spans="2:3" ht="39.75" customHeight="1" x14ac:dyDescent="0.35">
      <c r="B11" s="3" t="s">
        <v>32</v>
      </c>
      <c r="C11" s="5" t="s">
        <v>33</v>
      </c>
    </row>
    <row r="12" spans="2:3" ht="39.75" customHeight="1" x14ac:dyDescent="0.35">
      <c r="B12" s="3" t="s">
        <v>34</v>
      </c>
      <c r="C12" s="4" t="s">
        <v>35</v>
      </c>
    </row>
    <row r="15" spans="2:3" x14ac:dyDescent="0.35">
      <c r="B15" s="6" t="s">
        <v>36</v>
      </c>
    </row>
    <row r="16" spans="2:3" ht="19.5" customHeight="1" x14ac:dyDescent="0.35">
      <c r="B16" s="7" t="s">
        <v>37</v>
      </c>
    </row>
    <row r="17" spans="2:2" ht="19.5" customHeight="1" x14ac:dyDescent="0.35">
      <c r="B17" s="8" t="s">
        <v>38</v>
      </c>
    </row>
    <row r="18" spans="2:2" ht="19.5" customHeight="1" x14ac:dyDescent="0.35">
      <c r="B18" s="9" t="s">
        <v>39</v>
      </c>
    </row>
    <row r="19" spans="2:2" ht="19.5" customHeight="1" x14ac:dyDescent="0.35">
      <c r="B19" s="10" t="s">
        <v>40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9A2E"/>
  </sheetPr>
  <dimension ref="A2:F25"/>
  <sheetViews>
    <sheetView showGridLines="0" zoomScaleNormal="100" workbookViewId="0">
      <selection activeCell="C6" sqref="C6"/>
    </sheetView>
  </sheetViews>
  <sheetFormatPr defaultColWidth="8.6328125" defaultRowHeight="14.5" x14ac:dyDescent="0.35"/>
  <cols>
    <col min="1" max="1" width="3" customWidth="1"/>
    <col min="2" max="2" width="30" customWidth="1"/>
    <col min="3" max="6" width="16" customWidth="1"/>
    <col min="7" max="7" width="3" customWidth="1"/>
  </cols>
  <sheetData>
    <row r="2" spans="1:6" ht="27.75" customHeight="1" x14ac:dyDescent="0.45">
      <c r="B2" s="65" t="s">
        <v>41</v>
      </c>
      <c r="C2" s="65"/>
      <c r="D2" s="65"/>
      <c r="E2" s="65"/>
      <c r="F2" s="65"/>
    </row>
    <row r="3" spans="1:6" x14ac:dyDescent="0.35">
      <c r="B3" s="66" t="s">
        <v>42</v>
      </c>
      <c r="C3" s="66"/>
      <c r="D3" s="66"/>
      <c r="E3" s="66"/>
      <c r="F3" s="66"/>
    </row>
    <row r="5" spans="1:6" ht="25.5" customHeight="1" x14ac:dyDescent="0.35">
      <c r="B5" s="11" t="s">
        <v>43</v>
      </c>
      <c r="C5" s="11" t="s">
        <v>44</v>
      </c>
      <c r="D5" s="11" t="s">
        <v>45</v>
      </c>
      <c r="E5" s="11" t="s">
        <v>46</v>
      </c>
    </row>
    <row r="6" spans="1:6" ht="33.75" customHeight="1" x14ac:dyDescent="0.35">
      <c r="B6" s="12">
        <f>COUNTA('INVENTARISASI ASET'!$A$4:$A$50)</f>
        <v>44</v>
      </c>
      <c r="C6" s="13">
        <f>SUM('INVENTARISASI ASET'!$I$4:$I$50)</f>
        <v>44768</v>
      </c>
      <c r="D6" s="12">
        <f>4</f>
        <v>4</v>
      </c>
      <c r="E6" s="12">
        <f>COUNTIF('INVENTARISASI ASET'!$G$4:$G$24,"-")+COUNTIF('INVENTARISASI ASET'!$G$4:$G$24,"Kosong")</f>
        <v>7</v>
      </c>
    </row>
    <row r="7" spans="1:6" x14ac:dyDescent="0.35">
      <c r="B7" s="14"/>
      <c r="C7" s="14" t="s">
        <v>47</v>
      </c>
      <c r="D7" s="14" t="s">
        <v>48</v>
      </c>
      <c r="E7" s="14" t="s">
        <v>49</v>
      </c>
    </row>
    <row r="10" spans="1:6" ht="15.5" x14ac:dyDescent="0.35">
      <c r="B10" s="67" t="s">
        <v>50</v>
      </c>
      <c r="C10" s="67"/>
      <c r="D10" s="67"/>
      <c r="E10" s="67"/>
      <c r="F10" s="67"/>
    </row>
    <row r="11" spans="1:6" ht="25.5" customHeight="1" x14ac:dyDescent="0.35">
      <c r="A11" s="15"/>
      <c r="B11" s="15" t="s">
        <v>51</v>
      </c>
      <c r="C11" s="15" t="s">
        <v>52</v>
      </c>
      <c r="D11" s="15" t="s">
        <v>53</v>
      </c>
      <c r="E11" s="16" t="s">
        <v>54</v>
      </c>
    </row>
    <row r="12" spans="1:6" x14ac:dyDescent="0.35">
      <c r="B12" s="17" t="s">
        <v>37</v>
      </c>
      <c r="C12" s="18">
        <f>COUNTIF('INVENTARISASI ASET'!$C$4:$C$50,B12)</f>
        <v>2</v>
      </c>
      <c r="D12" s="19">
        <f>SUMIF('INVENTARISASI ASET'!$C$4:$C$50,B12,'INVENTARISASI ASET'!$I$4:$I$50)</f>
        <v>10192</v>
      </c>
      <c r="E12" s="20">
        <f>C12/22</f>
        <v>9.0909090909090912E-2</v>
      </c>
    </row>
    <row r="13" spans="1:6" x14ac:dyDescent="0.35">
      <c r="B13" s="21" t="s">
        <v>38</v>
      </c>
      <c r="C13" s="22">
        <f>COUNTIF('INVENTARISASI ASET'!$C$4:$C$50,B13)</f>
        <v>1</v>
      </c>
      <c r="D13" s="23">
        <f>SUMIF('INVENTARISASI ASET'!$C$4:$C$50,B13,'INVENTARISASI ASET'!$I$4:$I$50)</f>
        <v>0</v>
      </c>
      <c r="E13" s="24">
        <f>C13/22</f>
        <v>4.5454545454545456E-2</v>
      </c>
    </row>
    <row r="14" spans="1:6" x14ac:dyDescent="0.35">
      <c r="B14" s="25" t="s">
        <v>39</v>
      </c>
      <c r="C14" s="18">
        <f>COUNTIF('INVENTARISASI ASET'!$C$4:$C$50,B14)</f>
        <v>27</v>
      </c>
      <c r="D14" s="19">
        <f>SUMIF('INVENTARISASI ASET'!$C$4:$C$50,B14,'INVENTARISASI ASET'!$I$4:$I$50)</f>
        <v>24458</v>
      </c>
      <c r="E14" s="20">
        <f>C14/22</f>
        <v>1.2272727272727273</v>
      </c>
    </row>
    <row r="15" spans="1:6" x14ac:dyDescent="0.35">
      <c r="B15" s="26" t="s">
        <v>40</v>
      </c>
      <c r="C15" s="22">
        <f>COUNTIF('INVENTARISASI ASET'!$C$4:$C$50,B15)</f>
        <v>14</v>
      </c>
      <c r="D15" s="23">
        <f>SUMIF('INVENTARISASI ASET'!$C$4:$C$50,B15,'INVENTARISASI ASET'!$I$4:$I$50)</f>
        <v>10118</v>
      </c>
      <c r="E15" s="24">
        <f>C15/22</f>
        <v>0.63636363636363635</v>
      </c>
    </row>
    <row r="16" spans="1:6" x14ac:dyDescent="0.35">
      <c r="B16" s="27" t="s">
        <v>55</v>
      </c>
      <c r="C16" s="27">
        <f>SUM(C12:C15)</f>
        <v>44</v>
      </c>
      <c r="D16" s="28">
        <f>SUM(D12:D15)</f>
        <v>44768</v>
      </c>
      <c r="E16" s="29">
        <f>SUM(E12:E15)</f>
        <v>2</v>
      </c>
    </row>
    <row r="19" spans="1:6" ht="15.5" x14ac:dyDescent="0.35">
      <c r="B19" s="67" t="s">
        <v>56</v>
      </c>
      <c r="C19" s="67"/>
      <c r="D19" s="67"/>
      <c r="E19" s="67"/>
      <c r="F19" s="67"/>
    </row>
    <row r="20" spans="1:6" ht="24" customHeight="1" x14ac:dyDescent="0.35">
      <c r="A20" s="15"/>
      <c r="B20" s="15" t="s">
        <v>57</v>
      </c>
      <c r="C20" s="15" t="s">
        <v>52</v>
      </c>
      <c r="D20" t="s">
        <v>58</v>
      </c>
    </row>
    <row r="21" spans="1:6" x14ac:dyDescent="0.35">
      <c r="B21" s="30" t="s">
        <v>59</v>
      </c>
      <c r="C21" s="31">
        <f>COUNTIF('INVENTARISASI ASET'!$G$4:$G$50,"Hak Milik")</f>
        <v>25</v>
      </c>
      <c r="D21" s="32">
        <f>C21/22</f>
        <v>1.1363636363636365</v>
      </c>
    </row>
    <row r="22" spans="1:6" x14ac:dyDescent="0.35">
      <c r="B22" s="33" t="s">
        <v>60</v>
      </c>
      <c r="C22" s="34">
        <f>COUNTIF('INVENTARISASI ASET'!$G$4:$G$50,"Hak Wakaf")</f>
        <v>8</v>
      </c>
      <c r="D22" s="35">
        <f>C22/22</f>
        <v>0.36363636363636365</v>
      </c>
    </row>
    <row r="23" spans="1:6" x14ac:dyDescent="0.35">
      <c r="B23" s="30" t="s">
        <v>61</v>
      </c>
      <c r="C23" s="31">
        <f>COUNTIF('INVENTARISASI ASET'!$G$4:$G$50,"Hak Pakai")</f>
        <v>1</v>
      </c>
      <c r="D23" s="32">
        <f>C23/22</f>
        <v>4.5454545454545456E-2</v>
      </c>
    </row>
    <row r="24" spans="1:6" x14ac:dyDescent="0.35">
      <c r="B24" s="33" t="s">
        <v>62</v>
      </c>
      <c r="C24" s="34">
        <f>COUNTIF('INVENTARISASI ASET'!$G$4:$G$50,"Kosong")</f>
        <v>4</v>
      </c>
      <c r="D24" s="35">
        <f>C24/22</f>
        <v>0.18181818181818182</v>
      </c>
    </row>
    <row r="25" spans="1:6" x14ac:dyDescent="0.35">
      <c r="B25" s="30" t="s">
        <v>63</v>
      </c>
      <c r="C25" s="31">
        <f>COUNTIF('INVENTARISASI ASET'!$G$4:$G$50,"-")</f>
        <v>6</v>
      </c>
      <c r="D25" s="32">
        <f>C25/22</f>
        <v>0.27272727272727271</v>
      </c>
    </row>
  </sheetData>
  <mergeCells count="4">
    <mergeCell ref="B2:F2"/>
    <mergeCell ref="B3:F3"/>
    <mergeCell ref="B10:F10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L86"/>
  <sheetViews>
    <sheetView showGridLines="0" tabSelected="1" zoomScale="91" zoomScaleNormal="100" workbookViewId="0">
      <pane ySplit="3" topLeftCell="A59" activePane="bottomLeft" state="frozen"/>
      <selection pane="bottomLeft" activeCell="C121" sqref="C121"/>
    </sheetView>
  </sheetViews>
  <sheetFormatPr defaultColWidth="8.6328125" defaultRowHeight="14.5" x14ac:dyDescent="0.35"/>
  <cols>
    <col min="1" max="1" width="7" customWidth="1"/>
    <col min="2" max="2" width="30" customWidth="1"/>
    <col min="3" max="3" width="20" customWidth="1"/>
    <col min="4" max="4" width="42" customWidth="1"/>
    <col min="5" max="5" width="26" customWidth="1"/>
    <col min="6" max="6" width="14" customWidth="1"/>
    <col min="7" max="7" width="16" customWidth="1"/>
    <col min="8" max="8" width="35.1796875" customWidth="1"/>
    <col min="9" max="9" width="13" customWidth="1"/>
    <col min="10" max="10" width="20" customWidth="1"/>
    <col min="11" max="11" width="16" customWidth="1"/>
    <col min="12" max="12" width="34" customWidth="1"/>
  </cols>
  <sheetData>
    <row r="1" spans="1:12" ht="25.5" customHeight="1" x14ac:dyDescent="0.35">
      <c r="A1" s="54" t="s">
        <v>64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spans="1:12" ht="31.5" customHeight="1" x14ac:dyDescent="0.35">
      <c r="A3" s="15" t="s">
        <v>65</v>
      </c>
      <c r="B3" s="15" t="s">
        <v>66</v>
      </c>
      <c r="C3" s="15" t="s">
        <v>67</v>
      </c>
      <c r="D3" s="15" t="s">
        <v>68</v>
      </c>
      <c r="E3" s="15" t="s">
        <v>69</v>
      </c>
      <c r="F3" s="15" t="s">
        <v>70</v>
      </c>
      <c r="G3" s="15" t="s">
        <v>71</v>
      </c>
      <c r="H3" s="15" t="s">
        <v>72</v>
      </c>
      <c r="I3" s="15" t="s">
        <v>73</v>
      </c>
      <c r="J3" s="15" t="s">
        <v>74</v>
      </c>
      <c r="K3" s="15" t="s">
        <v>75</v>
      </c>
      <c r="L3" s="15" t="s">
        <v>76</v>
      </c>
    </row>
    <row r="4" spans="1:12" ht="46" customHeight="1" x14ac:dyDescent="0.35">
      <c r="A4" s="34">
        <v>1</v>
      </c>
      <c r="B4" s="38" t="s">
        <v>83</v>
      </c>
      <c r="C4" s="48" t="s">
        <v>38</v>
      </c>
      <c r="D4" s="38" t="s">
        <v>138</v>
      </c>
      <c r="E4" s="38" t="s">
        <v>84</v>
      </c>
      <c r="F4" s="38"/>
      <c r="G4" s="49" t="s">
        <v>85</v>
      </c>
      <c r="H4" s="46" t="s">
        <v>206</v>
      </c>
      <c r="I4" s="34" t="s">
        <v>85</v>
      </c>
      <c r="J4" s="38" t="s">
        <v>81</v>
      </c>
      <c r="K4" s="38"/>
      <c r="L4" s="38" t="s">
        <v>82</v>
      </c>
    </row>
    <row r="5" spans="1:12" ht="47.5" customHeight="1" x14ac:dyDescent="0.35">
      <c r="A5" s="31">
        <v>2</v>
      </c>
      <c r="B5" s="36" t="s">
        <v>111</v>
      </c>
      <c r="C5" s="39" t="s">
        <v>40</v>
      </c>
      <c r="D5" s="36" t="s">
        <v>140</v>
      </c>
      <c r="E5" s="36" t="s">
        <v>112</v>
      </c>
      <c r="F5" s="36"/>
      <c r="G5" s="36" t="s">
        <v>59</v>
      </c>
      <c r="H5" s="45" t="s">
        <v>207</v>
      </c>
      <c r="I5" s="37">
        <v>387</v>
      </c>
      <c r="J5" s="36" t="s">
        <v>81</v>
      </c>
      <c r="K5" s="36"/>
      <c r="L5" s="36" t="s">
        <v>82</v>
      </c>
    </row>
    <row r="6" spans="1:12" ht="46" customHeight="1" x14ac:dyDescent="0.35">
      <c r="A6" s="34">
        <v>3</v>
      </c>
      <c r="B6" s="38" t="s">
        <v>113</v>
      </c>
      <c r="C6" s="39" t="s">
        <v>40</v>
      </c>
      <c r="D6" s="38" t="s">
        <v>114</v>
      </c>
      <c r="E6" s="38" t="s">
        <v>115</v>
      </c>
      <c r="F6" s="38"/>
      <c r="G6" s="49" t="s">
        <v>85</v>
      </c>
      <c r="H6" s="46" t="s">
        <v>207</v>
      </c>
      <c r="I6" s="34" t="s">
        <v>85</v>
      </c>
      <c r="J6" s="38" t="s">
        <v>81</v>
      </c>
      <c r="K6" s="38"/>
      <c r="L6" s="38" t="s">
        <v>82</v>
      </c>
    </row>
    <row r="7" spans="1:12" ht="39" x14ac:dyDescent="0.35">
      <c r="A7" s="31">
        <v>4</v>
      </c>
      <c r="B7" s="36" t="s">
        <v>116</v>
      </c>
      <c r="C7" s="39" t="s">
        <v>40</v>
      </c>
      <c r="D7" s="36" t="s">
        <v>114</v>
      </c>
      <c r="E7" s="36" t="s">
        <v>117</v>
      </c>
      <c r="F7" s="36"/>
      <c r="G7" s="36" t="s">
        <v>79</v>
      </c>
      <c r="H7" s="45" t="s">
        <v>207</v>
      </c>
      <c r="I7" s="31" t="s">
        <v>85</v>
      </c>
      <c r="J7" s="36" t="s">
        <v>81</v>
      </c>
      <c r="K7" s="36"/>
      <c r="L7" s="36" t="s">
        <v>82</v>
      </c>
    </row>
    <row r="8" spans="1:12" ht="46" customHeight="1" x14ac:dyDescent="0.35">
      <c r="A8" s="34">
        <v>5</v>
      </c>
      <c r="B8" s="38" t="s">
        <v>118</v>
      </c>
      <c r="C8" s="39" t="s">
        <v>40</v>
      </c>
      <c r="D8" s="38" t="s">
        <v>136</v>
      </c>
      <c r="E8" s="38" t="s">
        <v>119</v>
      </c>
      <c r="F8" s="38"/>
      <c r="G8" s="49" t="s">
        <v>85</v>
      </c>
      <c r="H8" s="46" t="s">
        <v>207</v>
      </c>
      <c r="I8" s="34" t="s">
        <v>85</v>
      </c>
      <c r="J8" s="38" t="s">
        <v>81</v>
      </c>
      <c r="K8" s="38"/>
      <c r="L8" s="38" t="s">
        <v>82</v>
      </c>
    </row>
    <row r="9" spans="1:12" ht="44.5" customHeight="1" x14ac:dyDescent="0.35">
      <c r="A9" s="31">
        <v>6</v>
      </c>
      <c r="B9" s="36" t="s">
        <v>120</v>
      </c>
      <c r="C9" s="39" t="s">
        <v>40</v>
      </c>
      <c r="D9" s="36" t="s">
        <v>136</v>
      </c>
      <c r="E9" s="36" t="s">
        <v>121</v>
      </c>
      <c r="F9" s="36"/>
      <c r="G9" s="50" t="s">
        <v>85</v>
      </c>
      <c r="H9" s="45" t="s">
        <v>207</v>
      </c>
      <c r="I9" s="31" t="s">
        <v>85</v>
      </c>
      <c r="J9" s="36" t="s">
        <v>81</v>
      </c>
      <c r="K9" s="36"/>
      <c r="L9" s="36" t="s">
        <v>82</v>
      </c>
    </row>
    <row r="10" spans="1:12" ht="46" customHeight="1" x14ac:dyDescent="0.35">
      <c r="A10" s="34">
        <v>7</v>
      </c>
      <c r="B10" s="38" t="s">
        <v>122</v>
      </c>
      <c r="C10" s="39" t="s">
        <v>40</v>
      </c>
      <c r="D10" s="38" t="s">
        <v>114</v>
      </c>
      <c r="E10" s="38" t="s">
        <v>123</v>
      </c>
      <c r="F10" s="38"/>
      <c r="G10" s="38" t="s">
        <v>59</v>
      </c>
      <c r="H10" s="46" t="s">
        <v>207</v>
      </c>
      <c r="I10" s="34">
        <v>435</v>
      </c>
      <c r="J10" s="38" t="s">
        <v>81</v>
      </c>
      <c r="K10" s="38"/>
      <c r="L10" s="38" t="s">
        <v>82</v>
      </c>
    </row>
    <row r="11" spans="1:12" ht="39" x14ac:dyDescent="0.35">
      <c r="A11" s="31">
        <v>8</v>
      </c>
      <c r="B11" s="36" t="s">
        <v>124</v>
      </c>
      <c r="C11" s="39" t="s">
        <v>40</v>
      </c>
      <c r="D11" s="36" t="s">
        <v>114</v>
      </c>
      <c r="E11" s="36" t="s">
        <v>125</v>
      </c>
      <c r="F11" s="36"/>
      <c r="G11" s="36" t="s">
        <v>79</v>
      </c>
      <c r="H11" s="45" t="s">
        <v>207</v>
      </c>
      <c r="I11" s="37">
        <v>1831</v>
      </c>
      <c r="J11" s="36" t="s">
        <v>81</v>
      </c>
      <c r="K11" s="36"/>
      <c r="L11" s="36" t="s">
        <v>82</v>
      </c>
    </row>
    <row r="12" spans="1:12" ht="46" customHeight="1" x14ac:dyDescent="0.35">
      <c r="A12" s="34">
        <v>9</v>
      </c>
      <c r="B12" s="38" t="s">
        <v>126</v>
      </c>
      <c r="C12" s="39" t="s">
        <v>40</v>
      </c>
      <c r="D12" s="38" t="s">
        <v>136</v>
      </c>
      <c r="E12" s="38" t="s">
        <v>127</v>
      </c>
      <c r="F12" s="38"/>
      <c r="G12" s="38" t="s">
        <v>60</v>
      </c>
      <c r="H12" s="46" t="s">
        <v>207</v>
      </c>
      <c r="I12" s="34">
        <v>254</v>
      </c>
      <c r="J12" s="38" t="s">
        <v>81</v>
      </c>
      <c r="K12" s="38"/>
      <c r="L12" s="38" t="s">
        <v>82</v>
      </c>
    </row>
    <row r="13" spans="1:12" ht="39" x14ac:dyDescent="0.35">
      <c r="A13" s="31">
        <v>10</v>
      </c>
      <c r="B13" s="36" t="s">
        <v>128</v>
      </c>
      <c r="C13" s="39" t="s">
        <v>40</v>
      </c>
      <c r="D13" s="36" t="s">
        <v>114</v>
      </c>
      <c r="E13" s="36" t="s">
        <v>129</v>
      </c>
      <c r="F13" s="36"/>
      <c r="G13" s="50" t="s">
        <v>85</v>
      </c>
      <c r="H13" s="45" t="s">
        <v>207</v>
      </c>
      <c r="I13" s="31" t="s">
        <v>85</v>
      </c>
      <c r="J13" s="36" t="s">
        <v>81</v>
      </c>
      <c r="K13" s="36"/>
      <c r="L13" s="36" t="s">
        <v>82</v>
      </c>
    </row>
    <row r="14" spans="1:12" ht="46" customHeight="1" x14ac:dyDescent="0.35">
      <c r="A14" s="34">
        <v>11</v>
      </c>
      <c r="B14" s="38" t="s">
        <v>95</v>
      </c>
      <c r="C14" s="39" t="s">
        <v>40</v>
      </c>
      <c r="D14" s="38" t="s">
        <v>96</v>
      </c>
      <c r="E14" s="38" t="s">
        <v>97</v>
      </c>
      <c r="F14" s="38"/>
      <c r="G14" s="38" t="s">
        <v>60</v>
      </c>
      <c r="H14" s="46" t="s">
        <v>207</v>
      </c>
      <c r="I14" s="34">
        <v>2464</v>
      </c>
      <c r="J14" s="38" t="s">
        <v>81</v>
      </c>
      <c r="K14" s="38"/>
      <c r="L14" s="38" t="s">
        <v>82</v>
      </c>
    </row>
    <row r="15" spans="1:12" ht="39" x14ac:dyDescent="0.35">
      <c r="A15" s="31">
        <v>12</v>
      </c>
      <c r="B15" s="45" t="s">
        <v>154</v>
      </c>
      <c r="C15" s="39" t="s">
        <v>40</v>
      </c>
      <c r="D15" s="36" t="s">
        <v>155</v>
      </c>
      <c r="E15" s="36" t="s">
        <v>156</v>
      </c>
      <c r="F15" s="36"/>
      <c r="G15" s="45" t="s">
        <v>59</v>
      </c>
      <c r="H15" s="45" t="s">
        <v>207</v>
      </c>
      <c r="I15" s="37">
        <v>1180</v>
      </c>
      <c r="J15" s="36" t="s">
        <v>81</v>
      </c>
      <c r="K15" s="36"/>
      <c r="L15" s="36" t="s">
        <v>82</v>
      </c>
    </row>
    <row r="16" spans="1:12" ht="46" customHeight="1" x14ac:dyDescent="0.35">
      <c r="A16" s="34">
        <v>13</v>
      </c>
      <c r="B16" s="38" t="s">
        <v>169</v>
      </c>
      <c r="C16" s="39" t="s">
        <v>40</v>
      </c>
      <c r="D16" s="38" t="s">
        <v>168</v>
      </c>
      <c r="E16" s="38" t="s">
        <v>170</v>
      </c>
      <c r="F16" s="38"/>
      <c r="G16" s="46" t="s">
        <v>60</v>
      </c>
      <c r="H16" s="46" t="s">
        <v>207</v>
      </c>
      <c r="I16" s="51">
        <v>2464</v>
      </c>
      <c r="J16" s="38" t="s">
        <v>81</v>
      </c>
      <c r="K16" s="38"/>
      <c r="L16" s="38" t="s">
        <v>82</v>
      </c>
    </row>
    <row r="17" spans="1:12" ht="39" x14ac:dyDescent="0.35">
      <c r="A17" s="31">
        <v>14</v>
      </c>
      <c r="B17" s="45" t="s">
        <v>183</v>
      </c>
      <c r="C17" s="39" t="s">
        <v>40</v>
      </c>
      <c r="D17" s="36" t="s">
        <v>182</v>
      </c>
      <c r="E17" s="36" t="s">
        <v>184</v>
      </c>
      <c r="F17" s="36"/>
      <c r="G17" s="45" t="s">
        <v>59</v>
      </c>
      <c r="H17" s="45" t="s">
        <v>207</v>
      </c>
      <c r="I17" s="31">
        <v>720</v>
      </c>
      <c r="J17" s="36" t="s">
        <v>81</v>
      </c>
      <c r="K17" s="36"/>
      <c r="L17" s="36" t="s">
        <v>82</v>
      </c>
    </row>
    <row r="18" spans="1:12" ht="46" customHeight="1" x14ac:dyDescent="0.35">
      <c r="A18" s="34">
        <v>15</v>
      </c>
      <c r="B18" s="38" t="s">
        <v>204</v>
      </c>
      <c r="C18" s="39" t="s">
        <v>40</v>
      </c>
      <c r="D18" s="38" t="s">
        <v>203</v>
      </c>
      <c r="E18" s="38" t="s">
        <v>205</v>
      </c>
      <c r="F18" s="38"/>
      <c r="G18" s="46" t="s">
        <v>59</v>
      </c>
      <c r="H18" s="46" t="s">
        <v>207</v>
      </c>
      <c r="I18" s="34">
        <v>383</v>
      </c>
      <c r="J18" s="38" t="s">
        <v>81</v>
      </c>
      <c r="K18" s="38"/>
      <c r="L18" s="38" t="s">
        <v>82</v>
      </c>
    </row>
    <row r="19" spans="1:12" ht="39" x14ac:dyDescent="0.35">
      <c r="A19" s="31">
        <v>16</v>
      </c>
      <c r="B19" s="36" t="s">
        <v>89</v>
      </c>
      <c r="C19" s="40" t="s">
        <v>39</v>
      </c>
      <c r="D19" s="36" t="s">
        <v>137</v>
      </c>
      <c r="E19" s="36" t="s">
        <v>90</v>
      </c>
      <c r="F19" s="36"/>
      <c r="G19" s="36" t="s">
        <v>59</v>
      </c>
      <c r="H19" s="45" t="s">
        <v>208</v>
      </c>
      <c r="I19" s="37">
        <v>512</v>
      </c>
      <c r="J19" s="36" t="s">
        <v>81</v>
      </c>
      <c r="K19" s="36"/>
      <c r="L19" s="36" t="s">
        <v>82</v>
      </c>
    </row>
    <row r="20" spans="1:12" ht="46" customHeight="1" x14ac:dyDescent="0.35">
      <c r="A20" s="34">
        <v>17</v>
      </c>
      <c r="B20" s="38" t="s">
        <v>91</v>
      </c>
      <c r="C20" s="40" t="s">
        <v>39</v>
      </c>
      <c r="D20" s="38" t="s">
        <v>139</v>
      </c>
      <c r="E20" s="38" t="s">
        <v>92</v>
      </c>
      <c r="F20" s="38"/>
      <c r="G20" s="38" t="s">
        <v>59</v>
      </c>
      <c r="H20" s="46" t="s">
        <v>208</v>
      </c>
      <c r="I20" s="34">
        <v>313</v>
      </c>
      <c r="J20" s="38" t="s">
        <v>81</v>
      </c>
      <c r="K20" s="38"/>
      <c r="L20" s="38" t="s">
        <v>82</v>
      </c>
    </row>
    <row r="21" spans="1:12" ht="30" customHeight="1" x14ac:dyDescent="0.35">
      <c r="A21" s="31">
        <v>18</v>
      </c>
      <c r="B21" s="36" t="s">
        <v>93</v>
      </c>
      <c r="C21" s="40" t="s">
        <v>39</v>
      </c>
      <c r="D21" s="36" t="s">
        <v>139</v>
      </c>
      <c r="E21" s="36" t="s">
        <v>94</v>
      </c>
      <c r="F21" s="36"/>
      <c r="G21" s="36" t="s">
        <v>60</v>
      </c>
      <c r="H21" s="45" t="s">
        <v>208</v>
      </c>
      <c r="I21" s="37">
        <v>390</v>
      </c>
      <c r="J21" s="36" t="s">
        <v>81</v>
      </c>
      <c r="K21" s="36"/>
      <c r="L21" s="36" t="s">
        <v>82</v>
      </c>
    </row>
    <row r="22" spans="1:12" ht="30" customHeight="1" x14ac:dyDescent="0.35">
      <c r="A22" s="34">
        <v>19</v>
      </c>
      <c r="B22" s="38" t="s">
        <v>98</v>
      </c>
      <c r="C22" s="40" t="s">
        <v>39</v>
      </c>
      <c r="D22" s="38" t="s">
        <v>136</v>
      </c>
      <c r="E22" s="38" t="s">
        <v>100</v>
      </c>
      <c r="F22" s="38"/>
      <c r="G22" s="38" t="s">
        <v>60</v>
      </c>
      <c r="H22" s="46" t="s">
        <v>208</v>
      </c>
      <c r="I22" s="41">
        <v>211</v>
      </c>
      <c r="J22" s="38" t="s">
        <v>81</v>
      </c>
      <c r="K22" s="38"/>
      <c r="L22" s="38" t="s">
        <v>82</v>
      </c>
    </row>
    <row r="23" spans="1:12" ht="30" customHeight="1" x14ac:dyDescent="0.35">
      <c r="A23" s="31">
        <v>20</v>
      </c>
      <c r="B23" s="36" t="s">
        <v>101</v>
      </c>
      <c r="C23" s="40" t="s">
        <v>39</v>
      </c>
      <c r="D23" s="36" t="s">
        <v>139</v>
      </c>
      <c r="E23" s="36" t="s">
        <v>102</v>
      </c>
      <c r="F23" s="36"/>
      <c r="G23" s="36" t="s">
        <v>59</v>
      </c>
      <c r="H23" s="45" t="s">
        <v>208</v>
      </c>
      <c r="I23" s="37">
        <v>690</v>
      </c>
      <c r="J23" s="36" t="s">
        <v>81</v>
      </c>
      <c r="K23" s="36"/>
      <c r="L23" s="36" t="s">
        <v>82</v>
      </c>
    </row>
    <row r="24" spans="1:12" ht="30" customHeight="1" x14ac:dyDescent="0.35">
      <c r="A24" s="34">
        <v>21</v>
      </c>
      <c r="B24" s="38" t="s">
        <v>103</v>
      </c>
      <c r="C24" s="40" t="s">
        <v>39</v>
      </c>
      <c r="D24" s="38" t="s">
        <v>139</v>
      </c>
      <c r="E24" s="38" t="s">
        <v>104</v>
      </c>
      <c r="F24" s="38"/>
      <c r="G24" s="38" t="s">
        <v>59</v>
      </c>
      <c r="H24" s="46" t="s">
        <v>208</v>
      </c>
      <c r="I24" s="41">
        <v>839</v>
      </c>
      <c r="J24" s="38" t="s">
        <v>81</v>
      </c>
      <c r="K24" s="38"/>
      <c r="L24" s="38" t="s">
        <v>82</v>
      </c>
    </row>
    <row r="25" spans="1:12" ht="51.5" customHeight="1" x14ac:dyDescent="0.35">
      <c r="A25" s="31">
        <v>22</v>
      </c>
      <c r="B25" s="36" t="s">
        <v>105</v>
      </c>
      <c r="C25" s="40" t="s">
        <v>39</v>
      </c>
      <c r="D25" s="36" t="s">
        <v>136</v>
      </c>
      <c r="E25" s="36" t="s">
        <v>106</v>
      </c>
      <c r="F25" s="36"/>
      <c r="G25" s="36" t="s">
        <v>59</v>
      </c>
      <c r="H25" s="45" t="s">
        <v>208</v>
      </c>
      <c r="I25" s="37">
        <v>1646</v>
      </c>
      <c r="J25" s="36" t="s">
        <v>81</v>
      </c>
      <c r="K25" s="36"/>
      <c r="L25" s="36" t="s">
        <v>82</v>
      </c>
    </row>
    <row r="26" spans="1:12" ht="47.5" customHeight="1" x14ac:dyDescent="0.35">
      <c r="A26" s="34">
        <v>23</v>
      </c>
      <c r="B26" s="38" t="s">
        <v>107</v>
      </c>
      <c r="C26" s="40" t="s">
        <v>39</v>
      </c>
      <c r="D26" s="38" t="s">
        <v>139</v>
      </c>
      <c r="E26" s="38" t="s">
        <v>108</v>
      </c>
      <c r="F26" s="38"/>
      <c r="G26" s="38" t="s">
        <v>59</v>
      </c>
      <c r="H26" s="46" t="s">
        <v>208</v>
      </c>
      <c r="I26" s="41">
        <v>844</v>
      </c>
      <c r="J26" s="38" t="s">
        <v>81</v>
      </c>
      <c r="K26" s="38"/>
      <c r="L26" s="38" t="s">
        <v>82</v>
      </c>
    </row>
    <row r="27" spans="1:12" ht="30" customHeight="1" x14ac:dyDescent="0.35">
      <c r="A27" s="31">
        <v>24</v>
      </c>
      <c r="B27" s="36" t="s">
        <v>109</v>
      </c>
      <c r="C27" s="40" t="s">
        <v>39</v>
      </c>
      <c r="D27" s="36" t="s">
        <v>136</v>
      </c>
      <c r="E27" s="36" t="s">
        <v>110</v>
      </c>
      <c r="F27" s="36"/>
      <c r="G27" s="36" t="s">
        <v>59</v>
      </c>
      <c r="H27" s="45" t="s">
        <v>208</v>
      </c>
      <c r="I27" s="37">
        <v>846</v>
      </c>
      <c r="J27" s="36" t="s">
        <v>81</v>
      </c>
      <c r="K27" s="36"/>
      <c r="L27" s="36" t="s">
        <v>82</v>
      </c>
    </row>
    <row r="28" spans="1:12" ht="30" customHeight="1" x14ac:dyDescent="0.35">
      <c r="A28" s="34">
        <v>25</v>
      </c>
      <c r="B28" s="38" t="s">
        <v>141</v>
      </c>
      <c r="C28" s="40" t="s">
        <v>39</v>
      </c>
      <c r="D28" s="38" t="s">
        <v>143</v>
      </c>
      <c r="E28" s="38" t="s">
        <v>142</v>
      </c>
      <c r="F28" s="38"/>
      <c r="G28" s="46" t="s">
        <v>59</v>
      </c>
      <c r="H28" s="46" t="s">
        <v>208</v>
      </c>
      <c r="I28" s="51">
        <v>1130</v>
      </c>
      <c r="J28" s="38" t="s">
        <v>81</v>
      </c>
      <c r="K28" s="38"/>
      <c r="L28" s="38" t="s">
        <v>82</v>
      </c>
    </row>
    <row r="29" spans="1:12" ht="48.5" customHeight="1" x14ac:dyDescent="0.35">
      <c r="A29" s="31">
        <v>26</v>
      </c>
      <c r="B29" s="45" t="s">
        <v>145</v>
      </c>
      <c r="C29" s="40" t="s">
        <v>39</v>
      </c>
      <c r="D29" s="36" t="s">
        <v>144</v>
      </c>
      <c r="E29" s="36" t="s">
        <v>146</v>
      </c>
      <c r="F29" s="36"/>
      <c r="G29" s="45" t="s">
        <v>59</v>
      </c>
      <c r="H29" s="45" t="s">
        <v>208</v>
      </c>
      <c r="I29" s="37">
        <v>928</v>
      </c>
      <c r="J29" s="36" t="s">
        <v>81</v>
      </c>
      <c r="K29" s="36"/>
      <c r="L29" s="36" t="s">
        <v>82</v>
      </c>
    </row>
    <row r="30" spans="1:12" ht="44.5" customHeight="1" x14ac:dyDescent="0.35">
      <c r="A30" s="34">
        <v>27</v>
      </c>
      <c r="B30" s="46" t="s">
        <v>153</v>
      </c>
      <c r="C30" s="40" t="s">
        <v>39</v>
      </c>
      <c r="D30" s="38" t="s">
        <v>147</v>
      </c>
      <c r="E30" s="38" t="s">
        <v>148</v>
      </c>
      <c r="F30" s="38"/>
      <c r="G30" s="46" t="s">
        <v>60</v>
      </c>
      <c r="H30" s="46" t="s">
        <v>208</v>
      </c>
      <c r="I30" s="41">
        <v>248</v>
      </c>
      <c r="J30" s="38" t="s">
        <v>81</v>
      </c>
      <c r="K30" s="38"/>
      <c r="L30" s="38" t="s">
        <v>82</v>
      </c>
    </row>
    <row r="31" spans="1:12" ht="39.5" customHeight="1" x14ac:dyDescent="0.35">
      <c r="A31" s="31">
        <v>28</v>
      </c>
      <c r="B31" s="45" t="s">
        <v>150</v>
      </c>
      <c r="C31" s="40" t="s">
        <v>39</v>
      </c>
      <c r="D31" s="36" t="s">
        <v>149</v>
      </c>
      <c r="E31" s="36" t="s">
        <v>158</v>
      </c>
      <c r="F31" s="36"/>
      <c r="G31" s="45" t="s">
        <v>59</v>
      </c>
      <c r="H31" s="45" t="s">
        <v>208</v>
      </c>
      <c r="I31" s="37">
        <v>1360</v>
      </c>
      <c r="J31" s="36" t="s">
        <v>81</v>
      </c>
      <c r="K31" s="36"/>
      <c r="L31" s="36" t="s">
        <v>82</v>
      </c>
    </row>
    <row r="32" spans="1:12" ht="30" customHeight="1" x14ac:dyDescent="0.35">
      <c r="A32" s="34">
        <v>29</v>
      </c>
      <c r="B32" s="46" t="s">
        <v>152</v>
      </c>
      <c r="C32" s="40" t="s">
        <v>39</v>
      </c>
      <c r="D32" s="38" t="s">
        <v>151</v>
      </c>
      <c r="E32" s="38" t="s">
        <v>157</v>
      </c>
      <c r="F32" s="38"/>
      <c r="G32" s="46" t="s">
        <v>59</v>
      </c>
      <c r="H32" s="46" t="s">
        <v>208</v>
      </c>
      <c r="I32" s="41">
        <v>2430</v>
      </c>
      <c r="J32" s="38" t="s">
        <v>81</v>
      </c>
      <c r="K32" s="38"/>
      <c r="L32" s="38" t="s">
        <v>82</v>
      </c>
    </row>
    <row r="33" spans="1:12" ht="30" customHeight="1" x14ac:dyDescent="0.35">
      <c r="A33" s="31">
        <v>30</v>
      </c>
      <c r="B33" s="45" t="s">
        <v>161</v>
      </c>
      <c r="C33" s="40" t="s">
        <v>39</v>
      </c>
      <c r="D33" s="36" t="s">
        <v>159</v>
      </c>
      <c r="E33" s="36" t="s">
        <v>160</v>
      </c>
      <c r="F33" s="36"/>
      <c r="G33" s="45" t="s">
        <v>59</v>
      </c>
      <c r="H33" s="45" t="s">
        <v>208</v>
      </c>
      <c r="I33" s="37">
        <v>1915</v>
      </c>
      <c r="J33" s="36" t="s">
        <v>81</v>
      </c>
      <c r="K33" s="36"/>
      <c r="L33" s="36" t="s">
        <v>82</v>
      </c>
    </row>
    <row r="34" spans="1:12" ht="46" customHeight="1" x14ac:dyDescent="0.35">
      <c r="A34" s="34">
        <v>31</v>
      </c>
      <c r="B34" s="38" t="s">
        <v>162</v>
      </c>
      <c r="C34" s="40" t="s">
        <v>39</v>
      </c>
      <c r="D34" s="38" t="s">
        <v>163</v>
      </c>
      <c r="E34" s="38" t="s">
        <v>164</v>
      </c>
      <c r="F34" s="38"/>
      <c r="G34" s="46" t="s">
        <v>59</v>
      </c>
      <c r="H34" s="46" t="s">
        <v>208</v>
      </c>
      <c r="I34" s="51">
        <v>1912</v>
      </c>
      <c r="J34" s="38" t="s">
        <v>81</v>
      </c>
      <c r="K34" s="38"/>
      <c r="L34" s="38" t="s">
        <v>82</v>
      </c>
    </row>
    <row r="35" spans="1:12" ht="46" customHeight="1" x14ac:dyDescent="0.35">
      <c r="A35" s="31">
        <v>32</v>
      </c>
      <c r="B35" s="36" t="s">
        <v>165</v>
      </c>
      <c r="C35" s="40" t="s">
        <v>39</v>
      </c>
      <c r="D35" s="36" t="s">
        <v>166</v>
      </c>
      <c r="E35" s="36" t="s">
        <v>167</v>
      </c>
      <c r="F35" s="36"/>
      <c r="G35" s="45" t="s">
        <v>79</v>
      </c>
      <c r="H35" s="45" t="s">
        <v>208</v>
      </c>
      <c r="I35" s="31">
        <v>744</v>
      </c>
      <c r="J35" s="36" t="s">
        <v>81</v>
      </c>
      <c r="K35" s="36"/>
      <c r="L35" s="36" t="s">
        <v>82</v>
      </c>
    </row>
    <row r="36" spans="1:12" ht="30" customHeight="1" x14ac:dyDescent="0.35">
      <c r="A36" s="34">
        <v>33</v>
      </c>
      <c r="B36" s="46" t="s">
        <v>172</v>
      </c>
      <c r="C36" s="40" t="s">
        <v>39</v>
      </c>
      <c r="D36" s="38" t="s">
        <v>171</v>
      </c>
      <c r="E36" s="38" t="s">
        <v>173</v>
      </c>
      <c r="F36" s="38"/>
      <c r="G36" s="46" t="s">
        <v>59</v>
      </c>
      <c r="H36" s="46" t="s">
        <v>208</v>
      </c>
      <c r="I36" s="41">
        <v>475</v>
      </c>
      <c r="J36" s="38" t="s">
        <v>81</v>
      </c>
      <c r="K36" s="38"/>
      <c r="L36" s="38" t="s">
        <v>82</v>
      </c>
    </row>
    <row r="37" spans="1:12" ht="46" customHeight="1" x14ac:dyDescent="0.35">
      <c r="A37" s="31">
        <v>34</v>
      </c>
      <c r="B37" s="36" t="s">
        <v>176</v>
      </c>
      <c r="C37" s="40" t="s">
        <v>39</v>
      </c>
      <c r="D37" s="36" t="s">
        <v>175</v>
      </c>
      <c r="E37" s="36" t="s">
        <v>174</v>
      </c>
      <c r="F37" s="36"/>
      <c r="G37" s="45" t="s">
        <v>59</v>
      </c>
      <c r="H37" s="45" t="s">
        <v>208</v>
      </c>
      <c r="I37" s="31">
        <v>251</v>
      </c>
      <c r="J37" s="36" t="s">
        <v>81</v>
      </c>
      <c r="K37" s="36"/>
      <c r="L37" s="36" t="s">
        <v>82</v>
      </c>
    </row>
    <row r="38" spans="1:12" ht="53" customHeight="1" x14ac:dyDescent="0.35">
      <c r="A38" s="34">
        <v>35</v>
      </c>
      <c r="B38" s="46" t="s">
        <v>177</v>
      </c>
      <c r="C38" s="40" t="s">
        <v>39</v>
      </c>
      <c r="D38" s="38" t="s">
        <v>99</v>
      </c>
      <c r="E38" s="38" t="s">
        <v>178</v>
      </c>
      <c r="F38" s="38"/>
      <c r="G38" s="46" t="s">
        <v>59</v>
      </c>
      <c r="H38" s="46" t="s">
        <v>208</v>
      </c>
      <c r="I38" s="41">
        <v>407</v>
      </c>
      <c r="J38" s="38" t="s">
        <v>81</v>
      </c>
      <c r="K38" s="38"/>
      <c r="L38" s="38" t="s">
        <v>82</v>
      </c>
    </row>
    <row r="39" spans="1:12" ht="46" customHeight="1" x14ac:dyDescent="0.35">
      <c r="A39" s="31">
        <v>36</v>
      </c>
      <c r="B39" s="36" t="s">
        <v>180</v>
      </c>
      <c r="C39" s="40" t="s">
        <v>39</v>
      </c>
      <c r="D39" s="36" t="s">
        <v>181</v>
      </c>
      <c r="E39" s="36" t="s">
        <v>179</v>
      </c>
      <c r="F39" s="36"/>
      <c r="G39" s="45" t="s">
        <v>60</v>
      </c>
      <c r="H39" s="45" t="s">
        <v>208</v>
      </c>
      <c r="I39" s="31">
        <v>239</v>
      </c>
      <c r="J39" s="36" t="s">
        <v>81</v>
      </c>
      <c r="K39" s="36"/>
      <c r="L39" s="36" t="s">
        <v>82</v>
      </c>
    </row>
    <row r="40" spans="1:12" ht="53" customHeight="1" x14ac:dyDescent="0.35">
      <c r="A40" s="34">
        <v>37</v>
      </c>
      <c r="B40" s="46" t="s">
        <v>186</v>
      </c>
      <c r="C40" s="40" t="s">
        <v>39</v>
      </c>
      <c r="D40" s="38" t="s">
        <v>185</v>
      </c>
      <c r="E40" s="38" t="s">
        <v>187</v>
      </c>
      <c r="F40" s="38"/>
      <c r="G40" s="46" t="s">
        <v>59</v>
      </c>
      <c r="H40" s="46" t="s">
        <v>208</v>
      </c>
      <c r="I40" s="41">
        <v>722</v>
      </c>
      <c r="J40" s="38" t="s">
        <v>81</v>
      </c>
      <c r="K40" s="38"/>
      <c r="L40" s="38" t="s">
        <v>82</v>
      </c>
    </row>
    <row r="41" spans="1:12" ht="46" customHeight="1" x14ac:dyDescent="0.35">
      <c r="A41" s="31">
        <v>38</v>
      </c>
      <c r="B41" s="36" t="s">
        <v>189</v>
      </c>
      <c r="C41" s="40" t="s">
        <v>39</v>
      </c>
      <c r="D41" s="36" t="s">
        <v>190</v>
      </c>
      <c r="E41" s="36" t="s">
        <v>188</v>
      </c>
      <c r="F41" s="36"/>
      <c r="G41" s="36" t="s">
        <v>59</v>
      </c>
      <c r="H41" s="45" t="s">
        <v>208</v>
      </c>
      <c r="I41" s="52">
        <v>1407</v>
      </c>
      <c r="J41" s="36" t="s">
        <v>81</v>
      </c>
      <c r="K41" s="36"/>
      <c r="L41" s="36" t="s">
        <v>82</v>
      </c>
    </row>
    <row r="42" spans="1:12" ht="53" customHeight="1" x14ac:dyDescent="0.35">
      <c r="A42" s="34">
        <v>39</v>
      </c>
      <c r="B42" s="46" t="s">
        <v>192</v>
      </c>
      <c r="C42" s="40" t="s">
        <v>39</v>
      </c>
      <c r="D42" s="38" t="s">
        <v>193</v>
      </c>
      <c r="E42" s="38" t="s">
        <v>191</v>
      </c>
      <c r="F42" s="38"/>
      <c r="G42" s="38" t="s">
        <v>59</v>
      </c>
      <c r="H42" s="46" t="s">
        <v>208</v>
      </c>
      <c r="I42" s="41">
        <v>329</v>
      </c>
      <c r="J42" s="38" t="s">
        <v>81</v>
      </c>
      <c r="K42" s="38"/>
      <c r="L42" s="38" t="s">
        <v>82</v>
      </c>
    </row>
    <row r="43" spans="1:12" ht="46" customHeight="1" x14ac:dyDescent="0.35">
      <c r="A43" s="31">
        <v>40</v>
      </c>
      <c r="B43" s="36" t="s">
        <v>195</v>
      </c>
      <c r="C43" s="40" t="s">
        <v>39</v>
      </c>
      <c r="D43" s="36" t="s">
        <v>194</v>
      </c>
      <c r="E43" s="36" t="s">
        <v>196</v>
      </c>
      <c r="F43" s="36"/>
      <c r="G43" s="36" t="s">
        <v>59</v>
      </c>
      <c r="H43" s="45" t="s">
        <v>208</v>
      </c>
      <c r="I43" s="52">
        <v>1108</v>
      </c>
      <c r="J43" s="36" t="s">
        <v>81</v>
      </c>
      <c r="K43" s="36"/>
      <c r="L43" s="36" t="s">
        <v>82</v>
      </c>
    </row>
    <row r="44" spans="1:12" ht="53" customHeight="1" x14ac:dyDescent="0.35">
      <c r="A44" s="34">
        <v>41</v>
      </c>
      <c r="B44" s="46" t="s">
        <v>197</v>
      </c>
      <c r="C44" s="40" t="s">
        <v>39</v>
      </c>
      <c r="D44" s="38" t="s">
        <v>198</v>
      </c>
      <c r="E44" s="38" t="s">
        <v>199</v>
      </c>
      <c r="F44" s="38"/>
      <c r="G44" s="38" t="s">
        <v>60</v>
      </c>
      <c r="H44" s="46" t="s">
        <v>208</v>
      </c>
      <c r="I44" s="41">
        <v>2562</v>
      </c>
      <c r="J44" s="38" t="s">
        <v>81</v>
      </c>
      <c r="K44" s="38"/>
      <c r="L44" s="38" t="s">
        <v>82</v>
      </c>
    </row>
    <row r="45" spans="1:12" ht="46" customHeight="1" x14ac:dyDescent="0.35">
      <c r="A45" s="31">
        <v>42</v>
      </c>
      <c r="B45" s="36" t="s">
        <v>200</v>
      </c>
      <c r="C45" s="40" t="s">
        <v>39</v>
      </c>
      <c r="D45" s="36" t="s">
        <v>201</v>
      </c>
      <c r="E45" s="36" t="s">
        <v>202</v>
      </c>
      <c r="F45" s="36"/>
      <c r="G45" s="50" t="s">
        <v>85</v>
      </c>
      <c r="H45" s="45" t="s">
        <v>208</v>
      </c>
      <c r="I45" s="53" t="s">
        <v>85</v>
      </c>
      <c r="J45" s="36" t="s">
        <v>81</v>
      </c>
      <c r="K45" s="36"/>
      <c r="L45" s="36" t="s">
        <v>82</v>
      </c>
    </row>
    <row r="46" spans="1:12" ht="46" customHeight="1" x14ac:dyDescent="0.35">
      <c r="A46" s="34">
        <v>43</v>
      </c>
      <c r="B46" s="38" t="s">
        <v>77</v>
      </c>
      <c r="C46" s="47" t="s">
        <v>37</v>
      </c>
      <c r="D46" s="38" t="s">
        <v>137</v>
      </c>
      <c r="E46" s="38" t="s">
        <v>78</v>
      </c>
      <c r="F46" s="38"/>
      <c r="G46" s="38" t="s">
        <v>79</v>
      </c>
      <c r="H46" s="46" t="s">
        <v>80</v>
      </c>
      <c r="I46" s="34">
        <v>2234</v>
      </c>
      <c r="J46" s="38" t="s">
        <v>81</v>
      </c>
      <c r="K46" s="38"/>
      <c r="L46" s="38" t="s">
        <v>82</v>
      </c>
    </row>
    <row r="47" spans="1:12" ht="46" customHeight="1" x14ac:dyDescent="0.35">
      <c r="A47" s="31">
        <v>44</v>
      </c>
      <c r="B47" s="36" t="s">
        <v>86</v>
      </c>
      <c r="C47" s="47" t="s">
        <v>37</v>
      </c>
      <c r="D47" s="36" t="s">
        <v>87</v>
      </c>
      <c r="E47" s="36" t="s">
        <v>88</v>
      </c>
      <c r="F47" s="36"/>
      <c r="G47" s="36" t="s">
        <v>61</v>
      </c>
      <c r="H47" s="36" t="s">
        <v>80</v>
      </c>
      <c r="I47" s="31">
        <v>7958</v>
      </c>
      <c r="J47" s="36" t="s">
        <v>81</v>
      </c>
      <c r="K47" s="36"/>
      <c r="L47" s="36" t="s">
        <v>82</v>
      </c>
    </row>
    <row r="61" spans="2:2" x14ac:dyDescent="0.35">
      <c r="B61" s="44"/>
    </row>
    <row r="62" spans="2:2" x14ac:dyDescent="0.35">
      <c r="B62" s="44"/>
    </row>
    <row r="65" spans="2:2" x14ac:dyDescent="0.35">
      <c r="B65" s="44"/>
    </row>
    <row r="66" spans="2:2" x14ac:dyDescent="0.35">
      <c r="B66" s="44"/>
    </row>
    <row r="68" spans="2:2" x14ac:dyDescent="0.35">
      <c r="B68" s="44"/>
    </row>
    <row r="70" spans="2:2" x14ac:dyDescent="0.35">
      <c r="B70" s="44"/>
    </row>
    <row r="71" spans="2:2" x14ac:dyDescent="0.35">
      <c r="B71" s="44"/>
    </row>
    <row r="72" spans="2:2" x14ac:dyDescent="0.35">
      <c r="B72" s="44"/>
    </row>
    <row r="73" spans="2:2" x14ac:dyDescent="0.35">
      <c r="B73" s="44"/>
    </row>
    <row r="74" spans="2:2" x14ac:dyDescent="0.35">
      <c r="B74" s="44"/>
    </row>
    <row r="75" spans="2:2" x14ac:dyDescent="0.35">
      <c r="B75" s="44"/>
    </row>
    <row r="76" spans="2:2" x14ac:dyDescent="0.35">
      <c r="B76" s="44"/>
    </row>
    <row r="77" spans="2:2" x14ac:dyDescent="0.35">
      <c r="B77" s="44"/>
    </row>
    <row r="78" spans="2:2" x14ac:dyDescent="0.35">
      <c r="B78" s="44"/>
    </row>
    <row r="79" spans="2:2" x14ac:dyDescent="0.35">
      <c r="B79" s="44"/>
    </row>
    <row r="80" spans="2:2" x14ac:dyDescent="0.35">
      <c r="B80" s="44"/>
    </row>
    <row r="81" spans="2:2" x14ac:dyDescent="0.35">
      <c r="B81" s="44"/>
    </row>
    <row r="83" spans="2:2" x14ac:dyDescent="0.35">
      <c r="B83" s="44"/>
    </row>
    <row r="84" spans="2:2" x14ac:dyDescent="0.35">
      <c r="B84" s="44"/>
    </row>
    <row r="85" spans="2:2" x14ac:dyDescent="0.35">
      <c r="B85" s="44"/>
    </row>
    <row r="86" spans="2:2" x14ac:dyDescent="0.35">
      <c r="B86" s="44"/>
    </row>
  </sheetData>
  <autoFilter ref="A3:L24" xr:uid="{00000000-0009-0000-0000-000003000000}">
    <sortState xmlns:xlrd2="http://schemas.microsoft.com/office/spreadsheetml/2017/richdata2" ref="A4:L47">
      <sortCondition sortBy="cellColor" ref="C3:C24" dxfId="0"/>
    </sortState>
  </autoFilter>
  <mergeCells count="1">
    <mergeCell ref="A1:L1"/>
  </mergeCells>
  <phoneticPr fontId="35" type="noConversion"/>
  <dataValidations count="3">
    <dataValidation type="list" allowBlank="1" sqref="F4:F47" xr:uid="{00000000-0002-0000-0300-000000000000}">
      <formula1>"Baik,Cukup,Rusak Ringan,Rusak Berat,Belum Disurvei"</formula1>
      <formula2>0</formula2>
    </dataValidation>
    <dataValidation type="list" allowBlank="1" sqref="G4:G47" xr:uid="{00000000-0002-0000-0300-000001000000}">
      <formula1>"Hak Milik,Hak Wakaf,Hak Pakai,Kosong,-"</formula1>
      <formula2>0</formula2>
    </dataValidation>
    <dataValidation type="list" sqref="C4:C47" xr:uid="{00000000-0002-0000-0300-000002000000}">
      <formula1>"Olahraga,Fasilitas Pemerintahan,Fasilitas Keagamaan,Fasilitas Pendidikan"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L7"/>
  <sheetViews>
    <sheetView showGridLines="0" zoomScaleNormal="100" workbookViewId="0">
      <pane ySplit="3" topLeftCell="A4" activePane="bottomLeft" state="frozen"/>
      <selection pane="bottomLeft" activeCell="B9" sqref="B9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12" ht="25.5" customHeight="1" x14ac:dyDescent="0.35">
      <c r="A1" s="68" t="s">
        <v>130</v>
      </c>
      <c r="B1" s="68"/>
      <c r="C1" s="68"/>
      <c r="D1" s="68"/>
      <c r="E1" s="68"/>
      <c r="F1" s="68"/>
      <c r="G1" s="68"/>
      <c r="H1" s="68"/>
      <c r="I1" s="68"/>
    </row>
    <row r="3" spans="1:12" ht="31.5" customHeight="1" x14ac:dyDescent="0.35">
      <c r="A3" s="15" t="s">
        <v>65</v>
      </c>
      <c r="B3" s="15" t="s">
        <v>66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73</v>
      </c>
      <c r="H3" s="15" t="s">
        <v>74</v>
      </c>
      <c r="I3" s="15" t="s">
        <v>76</v>
      </c>
    </row>
    <row r="4" spans="1:12" ht="46" customHeight="1" x14ac:dyDescent="0.35">
      <c r="A4" s="34">
        <v>43</v>
      </c>
      <c r="B4" s="38" t="s">
        <v>77</v>
      </c>
      <c r="C4" s="47" t="s">
        <v>37</v>
      </c>
      <c r="D4" s="38" t="s">
        <v>137</v>
      </c>
      <c r="E4" s="38" t="s">
        <v>78</v>
      </c>
      <c r="F4" s="38"/>
      <c r="G4" s="38" t="s">
        <v>79</v>
      </c>
      <c r="H4" s="46" t="s">
        <v>80</v>
      </c>
      <c r="I4" s="34">
        <v>2234</v>
      </c>
      <c r="J4" s="38" t="s">
        <v>81</v>
      </c>
      <c r="K4" s="38"/>
      <c r="L4" s="38" t="s">
        <v>82</v>
      </c>
    </row>
    <row r="5" spans="1:12" ht="46" customHeight="1" x14ac:dyDescent="0.35">
      <c r="A5" s="31">
        <v>44</v>
      </c>
      <c r="B5" s="36" t="s">
        <v>86</v>
      </c>
      <c r="C5" s="47" t="s">
        <v>37</v>
      </c>
      <c r="D5" s="36" t="s">
        <v>87</v>
      </c>
      <c r="E5" s="36" t="s">
        <v>88</v>
      </c>
      <c r="F5" s="36"/>
      <c r="G5" s="36" t="s">
        <v>61</v>
      </c>
      <c r="H5" s="36" t="s">
        <v>80</v>
      </c>
      <c r="I5" s="31">
        <v>7958</v>
      </c>
      <c r="J5" s="36" t="s">
        <v>81</v>
      </c>
      <c r="K5" s="36"/>
      <c r="L5" s="36" t="s">
        <v>82</v>
      </c>
    </row>
    <row r="7" spans="1:12" x14ac:dyDescent="0.35">
      <c r="A7" s="69" t="s">
        <v>131</v>
      </c>
      <c r="B7" s="69"/>
      <c r="C7" s="69"/>
      <c r="D7" s="69"/>
      <c r="E7" s="69"/>
      <c r="F7" s="69"/>
      <c r="G7" s="42">
        <f>SUM(G4:G5)</f>
        <v>0</v>
      </c>
      <c r="H7" s="43"/>
      <c r="I7" s="43"/>
    </row>
  </sheetData>
  <autoFilter ref="A3:I5" xr:uid="{00000000-0009-0000-0000-000004000000}"/>
  <mergeCells count="2">
    <mergeCell ref="A1:I1"/>
    <mergeCell ref="A7:F7"/>
  </mergeCells>
  <dataValidations count="3">
    <dataValidation type="list" sqref="C4:C5" xr:uid="{80AEC9DA-8014-4529-B827-E7DC4CB02E68}">
      <formula1>"Olahraga,Fasilitas Pemerintahan,Fasilitas Keagamaan,Fasilitas Pendidikan"</formula1>
      <formula2>0</formula2>
    </dataValidation>
    <dataValidation type="list" allowBlank="1" sqref="G4:G5" xr:uid="{C7AF7842-45B2-40A3-9F57-508A9CB63B19}">
      <formula1>"Hak Milik,Hak Wakaf,Hak Pakai,Kosong,-"</formula1>
      <formula2>0</formula2>
    </dataValidation>
    <dataValidation type="list" allowBlank="1" sqref="F4:F5" xr:uid="{2EAF396C-FD97-4FEA-B152-C6AB8A9CF93A}">
      <formula1>"Baik,Cukup,Rusak Ringan,Rusak Berat,Belum Disurvei"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L6"/>
  <sheetViews>
    <sheetView showGridLines="0" zoomScaleNormal="100" workbookViewId="0">
      <pane ySplit="3" topLeftCell="A4" activePane="bottomLeft" state="frozen"/>
      <selection pane="bottomLeft" activeCell="A4" sqref="A4:XFD4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12" ht="25.5" customHeight="1" x14ac:dyDescent="0.35">
      <c r="A1" s="70" t="s">
        <v>132</v>
      </c>
      <c r="B1" s="70"/>
      <c r="C1" s="70"/>
      <c r="D1" s="70"/>
      <c r="E1" s="70"/>
      <c r="F1" s="70"/>
      <c r="G1" s="70"/>
      <c r="H1" s="70"/>
      <c r="I1" s="70"/>
    </row>
    <row r="3" spans="1:12" ht="31.5" customHeight="1" x14ac:dyDescent="0.35">
      <c r="A3" s="15" t="s">
        <v>65</v>
      </c>
      <c r="B3" s="15" t="s">
        <v>66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73</v>
      </c>
      <c r="H3" s="15" t="s">
        <v>74</v>
      </c>
      <c r="I3" s="15" t="s">
        <v>76</v>
      </c>
    </row>
    <row r="4" spans="1:12" ht="46" customHeight="1" x14ac:dyDescent="0.35">
      <c r="A4" s="34">
        <v>1</v>
      </c>
      <c r="B4" s="38" t="s">
        <v>83</v>
      </c>
      <c r="C4" s="48" t="s">
        <v>38</v>
      </c>
      <c r="D4" s="38" t="s">
        <v>138</v>
      </c>
      <c r="E4" s="38" t="s">
        <v>84</v>
      </c>
      <c r="F4" s="38"/>
      <c r="G4" s="49" t="s">
        <v>85</v>
      </c>
      <c r="H4" s="46" t="s">
        <v>206</v>
      </c>
      <c r="I4" s="34" t="s">
        <v>85</v>
      </c>
      <c r="J4" s="38" t="s">
        <v>81</v>
      </c>
      <c r="K4" s="38"/>
      <c r="L4" s="38" t="s">
        <v>82</v>
      </c>
    </row>
    <row r="6" spans="1:12" x14ac:dyDescent="0.35">
      <c r="A6" s="69" t="s">
        <v>133</v>
      </c>
      <c r="B6" s="69"/>
      <c r="C6" s="69"/>
      <c r="D6" s="69"/>
      <c r="E6" s="69"/>
      <c r="F6" s="69"/>
      <c r="G6" s="42">
        <f>SUM(G4:G4)</f>
        <v>0</v>
      </c>
      <c r="H6" s="43"/>
      <c r="I6" s="43"/>
    </row>
  </sheetData>
  <autoFilter ref="A3:I4" xr:uid="{00000000-0009-0000-0000-000005000000}"/>
  <mergeCells count="2">
    <mergeCell ref="A1:I1"/>
    <mergeCell ref="A6:F6"/>
  </mergeCells>
  <dataValidations count="3">
    <dataValidation type="list" sqref="C4" xr:uid="{1D8BEE0E-CB82-4F15-995E-2F18B044B064}">
      <formula1>"Olahraga,Fasilitas Pemerintahan,Fasilitas Keagamaan,Fasilitas Pendidikan"</formula1>
      <formula2>0</formula2>
    </dataValidation>
    <dataValidation type="list" allowBlank="1" sqref="G4" xr:uid="{1DF0B2F4-6951-4F01-89AF-5E379A47D6D9}">
      <formula1>"Hak Milik,Hak Wakaf,Hak Pakai,Kosong,-"</formula1>
      <formula2>0</formula2>
    </dataValidation>
    <dataValidation type="list" allowBlank="1" sqref="F4" xr:uid="{4109DCA0-5A05-4920-8BA6-8A256C6D94EF}">
      <formula1>"Baik,Cukup,Rusak Ringan,Rusak Berat,Belum Disurvei"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D6E1B"/>
  </sheetPr>
  <dimension ref="A1:L30"/>
  <sheetViews>
    <sheetView showGridLines="0" zoomScaleNormal="100" workbookViewId="0">
      <pane ySplit="3" topLeftCell="A27" activePane="bottomLeft" state="frozen"/>
      <selection pane="bottomLeft" activeCell="C41" sqref="C41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12" ht="25.5" customHeight="1" x14ac:dyDescent="0.35">
      <c r="A1" s="71" t="s">
        <v>134</v>
      </c>
      <c r="B1" s="71"/>
      <c r="C1" s="71"/>
      <c r="D1" s="71"/>
      <c r="E1" s="71"/>
      <c r="F1" s="71"/>
      <c r="G1" s="71"/>
      <c r="H1" s="71"/>
      <c r="I1" s="71"/>
    </row>
    <row r="3" spans="1:12" ht="31.5" customHeight="1" x14ac:dyDescent="0.35">
      <c r="A3" s="15" t="s">
        <v>65</v>
      </c>
      <c r="B3" s="15" t="s">
        <v>66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73</v>
      </c>
      <c r="H3" s="15" t="s">
        <v>74</v>
      </c>
      <c r="I3" s="15" t="s">
        <v>76</v>
      </c>
    </row>
    <row r="4" spans="1:12" ht="104" x14ac:dyDescent="0.35">
      <c r="A4" s="31">
        <v>16</v>
      </c>
      <c r="B4" s="36" t="s">
        <v>89</v>
      </c>
      <c r="C4" s="40" t="s">
        <v>39</v>
      </c>
      <c r="D4" s="36" t="s">
        <v>137</v>
      </c>
      <c r="E4" s="36" t="s">
        <v>90</v>
      </c>
      <c r="F4" s="36"/>
      <c r="G4" s="36" t="s">
        <v>59</v>
      </c>
      <c r="H4" s="45" t="s">
        <v>208</v>
      </c>
      <c r="I4" s="37">
        <v>512</v>
      </c>
      <c r="J4" s="36" t="s">
        <v>81</v>
      </c>
      <c r="K4" s="36"/>
      <c r="L4" s="36" t="s">
        <v>82</v>
      </c>
    </row>
    <row r="5" spans="1:12" ht="46" customHeight="1" x14ac:dyDescent="0.35">
      <c r="A5" s="34">
        <v>17</v>
      </c>
      <c r="B5" s="38" t="s">
        <v>91</v>
      </c>
      <c r="C5" s="40" t="s">
        <v>39</v>
      </c>
      <c r="D5" s="38" t="s">
        <v>139</v>
      </c>
      <c r="E5" s="38" t="s">
        <v>92</v>
      </c>
      <c r="F5" s="38"/>
      <c r="G5" s="38" t="s">
        <v>59</v>
      </c>
      <c r="H5" s="46" t="s">
        <v>208</v>
      </c>
      <c r="I5" s="34">
        <v>313</v>
      </c>
      <c r="J5" s="38" t="s">
        <v>81</v>
      </c>
      <c r="K5" s="38"/>
      <c r="L5" s="38" t="s">
        <v>82</v>
      </c>
    </row>
    <row r="6" spans="1:12" ht="30" customHeight="1" x14ac:dyDescent="0.35">
      <c r="A6" s="31">
        <v>18</v>
      </c>
      <c r="B6" s="36" t="s">
        <v>93</v>
      </c>
      <c r="C6" s="40" t="s">
        <v>39</v>
      </c>
      <c r="D6" s="36" t="s">
        <v>139</v>
      </c>
      <c r="E6" s="36" t="s">
        <v>94</v>
      </c>
      <c r="F6" s="36"/>
      <c r="G6" s="36" t="s">
        <v>60</v>
      </c>
      <c r="H6" s="45" t="s">
        <v>208</v>
      </c>
      <c r="I6" s="37">
        <v>390</v>
      </c>
      <c r="J6" s="36" t="s">
        <v>81</v>
      </c>
      <c r="K6" s="36"/>
      <c r="L6" s="36" t="s">
        <v>82</v>
      </c>
    </row>
    <row r="7" spans="1:12" ht="30" customHeight="1" x14ac:dyDescent="0.35">
      <c r="A7" s="34">
        <v>19</v>
      </c>
      <c r="B7" s="38" t="s">
        <v>98</v>
      </c>
      <c r="C7" s="40" t="s">
        <v>39</v>
      </c>
      <c r="D7" s="38" t="s">
        <v>136</v>
      </c>
      <c r="E7" s="38" t="s">
        <v>100</v>
      </c>
      <c r="F7" s="38"/>
      <c r="G7" s="38" t="s">
        <v>60</v>
      </c>
      <c r="H7" s="46" t="s">
        <v>208</v>
      </c>
      <c r="I7" s="41">
        <v>211</v>
      </c>
      <c r="J7" s="38" t="s">
        <v>81</v>
      </c>
      <c r="K7" s="38"/>
      <c r="L7" s="38" t="s">
        <v>82</v>
      </c>
    </row>
    <row r="8" spans="1:12" ht="30" customHeight="1" x14ac:dyDescent="0.35">
      <c r="A8" s="31">
        <v>20</v>
      </c>
      <c r="B8" s="36" t="s">
        <v>101</v>
      </c>
      <c r="C8" s="40" t="s">
        <v>39</v>
      </c>
      <c r="D8" s="36" t="s">
        <v>139</v>
      </c>
      <c r="E8" s="36" t="s">
        <v>102</v>
      </c>
      <c r="F8" s="36"/>
      <c r="G8" s="36" t="s">
        <v>59</v>
      </c>
      <c r="H8" s="45" t="s">
        <v>208</v>
      </c>
      <c r="I8" s="37">
        <v>690</v>
      </c>
      <c r="J8" s="36" t="s">
        <v>81</v>
      </c>
      <c r="K8" s="36"/>
      <c r="L8" s="36" t="s">
        <v>82</v>
      </c>
    </row>
    <row r="9" spans="1:12" ht="30" customHeight="1" x14ac:dyDescent="0.35">
      <c r="A9" s="34">
        <v>21</v>
      </c>
      <c r="B9" s="38" t="s">
        <v>103</v>
      </c>
      <c r="C9" s="40" t="s">
        <v>39</v>
      </c>
      <c r="D9" s="38" t="s">
        <v>139</v>
      </c>
      <c r="E9" s="38" t="s">
        <v>104</v>
      </c>
      <c r="F9" s="38"/>
      <c r="G9" s="38" t="s">
        <v>59</v>
      </c>
      <c r="H9" s="46" t="s">
        <v>208</v>
      </c>
      <c r="I9" s="41">
        <v>839</v>
      </c>
      <c r="J9" s="38" t="s">
        <v>81</v>
      </c>
      <c r="K9" s="38"/>
      <c r="L9" s="38" t="s">
        <v>82</v>
      </c>
    </row>
    <row r="10" spans="1:12" ht="51.5" customHeight="1" x14ac:dyDescent="0.35">
      <c r="A10" s="31">
        <v>22</v>
      </c>
      <c r="B10" s="36" t="s">
        <v>105</v>
      </c>
      <c r="C10" s="40" t="s">
        <v>39</v>
      </c>
      <c r="D10" s="36" t="s">
        <v>136</v>
      </c>
      <c r="E10" s="36" t="s">
        <v>106</v>
      </c>
      <c r="F10" s="36"/>
      <c r="G10" s="36" t="s">
        <v>59</v>
      </c>
      <c r="H10" s="45" t="s">
        <v>208</v>
      </c>
      <c r="I10" s="37">
        <v>1646</v>
      </c>
      <c r="J10" s="36" t="s">
        <v>81</v>
      </c>
      <c r="K10" s="36"/>
      <c r="L10" s="36" t="s">
        <v>82</v>
      </c>
    </row>
    <row r="11" spans="1:12" ht="47.5" customHeight="1" x14ac:dyDescent="0.35">
      <c r="A11" s="34">
        <v>23</v>
      </c>
      <c r="B11" s="38" t="s">
        <v>107</v>
      </c>
      <c r="C11" s="40" t="s">
        <v>39</v>
      </c>
      <c r="D11" s="38" t="s">
        <v>139</v>
      </c>
      <c r="E11" s="38" t="s">
        <v>108</v>
      </c>
      <c r="F11" s="38"/>
      <c r="G11" s="38" t="s">
        <v>59</v>
      </c>
      <c r="H11" s="46" t="s">
        <v>208</v>
      </c>
      <c r="I11" s="41">
        <v>844</v>
      </c>
      <c r="J11" s="38" t="s">
        <v>81</v>
      </c>
      <c r="K11" s="38"/>
      <c r="L11" s="38" t="s">
        <v>82</v>
      </c>
    </row>
    <row r="12" spans="1:12" ht="30" customHeight="1" x14ac:dyDescent="0.35">
      <c r="A12" s="31">
        <v>24</v>
      </c>
      <c r="B12" s="36" t="s">
        <v>109</v>
      </c>
      <c r="C12" s="40" t="s">
        <v>39</v>
      </c>
      <c r="D12" s="36" t="s">
        <v>136</v>
      </c>
      <c r="E12" s="36" t="s">
        <v>110</v>
      </c>
      <c r="F12" s="36"/>
      <c r="G12" s="36" t="s">
        <v>59</v>
      </c>
      <c r="H12" s="45" t="s">
        <v>208</v>
      </c>
      <c r="I12" s="37">
        <v>846</v>
      </c>
      <c r="J12" s="36" t="s">
        <v>81</v>
      </c>
      <c r="K12" s="36"/>
      <c r="L12" s="36" t="s">
        <v>82</v>
      </c>
    </row>
    <row r="13" spans="1:12" ht="30" customHeight="1" x14ac:dyDescent="0.35">
      <c r="A13" s="34">
        <v>25</v>
      </c>
      <c r="B13" s="38" t="s">
        <v>141</v>
      </c>
      <c r="C13" s="40" t="s">
        <v>39</v>
      </c>
      <c r="D13" s="38" t="s">
        <v>143</v>
      </c>
      <c r="E13" s="38" t="s">
        <v>142</v>
      </c>
      <c r="F13" s="38"/>
      <c r="G13" s="46" t="s">
        <v>59</v>
      </c>
      <c r="H13" s="46" t="s">
        <v>208</v>
      </c>
      <c r="I13" s="51">
        <v>1130</v>
      </c>
      <c r="J13" s="38" t="s">
        <v>81</v>
      </c>
      <c r="K13" s="38"/>
      <c r="L13" s="38" t="s">
        <v>82</v>
      </c>
    </row>
    <row r="14" spans="1:12" ht="48.5" customHeight="1" x14ac:dyDescent="0.35">
      <c r="A14" s="31">
        <v>26</v>
      </c>
      <c r="B14" s="45" t="s">
        <v>145</v>
      </c>
      <c r="C14" s="40" t="s">
        <v>39</v>
      </c>
      <c r="D14" s="36" t="s">
        <v>144</v>
      </c>
      <c r="E14" s="36" t="s">
        <v>146</v>
      </c>
      <c r="F14" s="36"/>
      <c r="G14" s="45" t="s">
        <v>59</v>
      </c>
      <c r="H14" s="45" t="s">
        <v>208</v>
      </c>
      <c r="I14" s="37">
        <v>928</v>
      </c>
      <c r="J14" s="36" t="s">
        <v>81</v>
      </c>
      <c r="K14" s="36"/>
      <c r="L14" s="36" t="s">
        <v>82</v>
      </c>
    </row>
    <row r="15" spans="1:12" ht="44.5" customHeight="1" x14ac:dyDescent="0.35">
      <c r="A15" s="34">
        <v>27</v>
      </c>
      <c r="B15" s="46" t="s">
        <v>153</v>
      </c>
      <c r="C15" s="40" t="s">
        <v>39</v>
      </c>
      <c r="D15" s="38" t="s">
        <v>147</v>
      </c>
      <c r="E15" s="38" t="s">
        <v>148</v>
      </c>
      <c r="F15" s="38"/>
      <c r="G15" s="46" t="s">
        <v>60</v>
      </c>
      <c r="H15" s="46" t="s">
        <v>208</v>
      </c>
      <c r="I15" s="41">
        <v>248</v>
      </c>
      <c r="J15" s="38" t="s">
        <v>81</v>
      </c>
      <c r="K15" s="38"/>
      <c r="L15" s="38" t="s">
        <v>82</v>
      </c>
    </row>
    <row r="16" spans="1:12" ht="39.5" customHeight="1" x14ac:dyDescent="0.35">
      <c r="A16" s="31">
        <v>28</v>
      </c>
      <c r="B16" s="45" t="s">
        <v>150</v>
      </c>
      <c r="C16" s="40" t="s">
        <v>39</v>
      </c>
      <c r="D16" s="36" t="s">
        <v>149</v>
      </c>
      <c r="E16" s="36" t="s">
        <v>158</v>
      </c>
      <c r="F16" s="36"/>
      <c r="G16" s="45" t="s">
        <v>59</v>
      </c>
      <c r="H16" s="45" t="s">
        <v>208</v>
      </c>
      <c r="I16" s="37">
        <v>1360</v>
      </c>
      <c r="J16" s="36" t="s">
        <v>81</v>
      </c>
      <c r="K16" s="36"/>
      <c r="L16" s="36" t="s">
        <v>82</v>
      </c>
    </row>
    <row r="17" spans="1:12" ht="30" customHeight="1" x14ac:dyDescent="0.35">
      <c r="A17" s="34">
        <v>29</v>
      </c>
      <c r="B17" s="46" t="s">
        <v>152</v>
      </c>
      <c r="C17" s="40" t="s">
        <v>39</v>
      </c>
      <c r="D17" s="38" t="s">
        <v>151</v>
      </c>
      <c r="E17" s="38" t="s">
        <v>157</v>
      </c>
      <c r="F17" s="38"/>
      <c r="G17" s="46" t="s">
        <v>59</v>
      </c>
      <c r="H17" s="46" t="s">
        <v>208</v>
      </c>
      <c r="I17" s="41">
        <v>2430</v>
      </c>
      <c r="J17" s="38" t="s">
        <v>81</v>
      </c>
      <c r="K17" s="38"/>
      <c r="L17" s="38" t="s">
        <v>82</v>
      </c>
    </row>
    <row r="18" spans="1:12" ht="30" customHeight="1" x14ac:dyDescent="0.35">
      <c r="A18" s="31">
        <v>30</v>
      </c>
      <c r="B18" s="45" t="s">
        <v>161</v>
      </c>
      <c r="C18" s="40" t="s">
        <v>39</v>
      </c>
      <c r="D18" s="36" t="s">
        <v>159</v>
      </c>
      <c r="E18" s="36" t="s">
        <v>160</v>
      </c>
      <c r="F18" s="36"/>
      <c r="G18" s="45" t="s">
        <v>59</v>
      </c>
      <c r="H18" s="45" t="s">
        <v>208</v>
      </c>
      <c r="I18" s="37">
        <v>1915</v>
      </c>
      <c r="J18" s="36" t="s">
        <v>81</v>
      </c>
      <c r="K18" s="36"/>
      <c r="L18" s="36" t="s">
        <v>82</v>
      </c>
    </row>
    <row r="19" spans="1:12" ht="46" customHeight="1" x14ac:dyDescent="0.35">
      <c r="A19" s="34">
        <v>31</v>
      </c>
      <c r="B19" s="38" t="s">
        <v>162</v>
      </c>
      <c r="C19" s="40" t="s">
        <v>39</v>
      </c>
      <c r="D19" s="38" t="s">
        <v>163</v>
      </c>
      <c r="E19" s="38" t="s">
        <v>164</v>
      </c>
      <c r="F19" s="38"/>
      <c r="G19" s="46" t="s">
        <v>59</v>
      </c>
      <c r="H19" s="46" t="s">
        <v>208</v>
      </c>
      <c r="I19" s="51">
        <v>1912</v>
      </c>
      <c r="J19" s="38" t="s">
        <v>81</v>
      </c>
      <c r="K19" s="38"/>
      <c r="L19" s="38" t="s">
        <v>82</v>
      </c>
    </row>
    <row r="20" spans="1:12" ht="46" customHeight="1" x14ac:dyDescent="0.35">
      <c r="A20" s="31">
        <v>32</v>
      </c>
      <c r="B20" s="36" t="s">
        <v>165</v>
      </c>
      <c r="C20" s="40" t="s">
        <v>39</v>
      </c>
      <c r="D20" s="36" t="s">
        <v>166</v>
      </c>
      <c r="E20" s="36" t="s">
        <v>167</v>
      </c>
      <c r="F20" s="36"/>
      <c r="G20" s="45" t="s">
        <v>79</v>
      </c>
      <c r="H20" s="45" t="s">
        <v>208</v>
      </c>
      <c r="I20" s="31">
        <v>744</v>
      </c>
      <c r="J20" s="36" t="s">
        <v>81</v>
      </c>
      <c r="K20" s="36"/>
      <c r="L20" s="36" t="s">
        <v>82</v>
      </c>
    </row>
    <row r="21" spans="1:12" ht="30" customHeight="1" x14ac:dyDescent="0.35">
      <c r="A21" s="34">
        <v>33</v>
      </c>
      <c r="B21" s="46" t="s">
        <v>172</v>
      </c>
      <c r="C21" s="40" t="s">
        <v>39</v>
      </c>
      <c r="D21" s="38" t="s">
        <v>171</v>
      </c>
      <c r="E21" s="38" t="s">
        <v>173</v>
      </c>
      <c r="F21" s="38"/>
      <c r="G21" s="46" t="s">
        <v>59</v>
      </c>
      <c r="H21" s="46" t="s">
        <v>208</v>
      </c>
      <c r="I21" s="41">
        <v>475</v>
      </c>
      <c r="J21" s="38" t="s">
        <v>81</v>
      </c>
      <c r="K21" s="38"/>
      <c r="L21" s="38" t="s">
        <v>82</v>
      </c>
    </row>
    <row r="22" spans="1:12" ht="46" customHeight="1" x14ac:dyDescent="0.35">
      <c r="A22" s="31">
        <v>34</v>
      </c>
      <c r="B22" s="36" t="s">
        <v>176</v>
      </c>
      <c r="C22" s="40" t="s">
        <v>39</v>
      </c>
      <c r="D22" s="36" t="s">
        <v>175</v>
      </c>
      <c r="E22" s="36" t="s">
        <v>174</v>
      </c>
      <c r="F22" s="36"/>
      <c r="G22" s="45" t="s">
        <v>59</v>
      </c>
      <c r="H22" s="45" t="s">
        <v>208</v>
      </c>
      <c r="I22" s="31">
        <v>251</v>
      </c>
      <c r="J22" s="36" t="s">
        <v>81</v>
      </c>
      <c r="K22" s="36"/>
      <c r="L22" s="36" t="s">
        <v>82</v>
      </c>
    </row>
    <row r="23" spans="1:12" ht="53" customHeight="1" x14ac:dyDescent="0.35">
      <c r="A23" s="34">
        <v>35</v>
      </c>
      <c r="B23" s="46" t="s">
        <v>177</v>
      </c>
      <c r="C23" s="40" t="s">
        <v>39</v>
      </c>
      <c r="D23" s="38" t="s">
        <v>99</v>
      </c>
      <c r="E23" s="38" t="s">
        <v>178</v>
      </c>
      <c r="F23" s="38"/>
      <c r="G23" s="46" t="s">
        <v>59</v>
      </c>
      <c r="H23" s="46" t="s">
        <v>208</v>
      </c>
      <c r="I23" s="41">
        <v>407</v>
      </c>
      <c r="J23" s="38" t="s">
        <v>81</v>
      </c>
      <c r="K23" s="38"/>
      <c r="L23" s="38" t="s">
        <v>82</v>
      </c>
    </row>
    <row r="24" spans="1:12" ht="46" customHeight="1" x14ac:dyDescent="0.35">
      <c r="A24" s="31">
        <v>36</v>
      </c>
      <c r="B24" s="36" t="s">
        <v>180</v>
      </c>
      <c r="C24" s="40" t="s">
        <v>39</v>
      </c>
      <c r="D24" s="36" t="s">
        <v>181</v>
      </c>
      <c r="E24" s="36" t="s">
        <v>179</v>
      </c>
      <c r="F24" s="36"/>
      <c r="G24" s="45" t="s">
        <v>60</v>
      </c>
      <c r="H24" s="45" t="s">
        <v>208</v>
      </c>
      <c r="I24" s="31">
        <v>239</v>
      </c>
      <c r="J24" s="36" t="s">
        <v>81</v>
      </c>
      <c r="K24" s="36"/>
      <c r="L24" s="36" t="s">
        <v>82</v>
      </c>
    </row>
    <row r="25" spans="1:12" ht="53" customHeight="1" x14ac:dyDescent="0.35">
      <c r="A25" s="34">
        <v>37</v>
      </c>
      <c r="B25" s="46" t="s">
        <v>186</v>
      </c>
      <c r="C25" s="40" t="s">
        <v>39</v>
      </c>
      <c r="D25" s="38" t="s">
        <v>185</v>
      </c>
      <c r="E25" s="38" t="s">
        <v>187</v>
      </c>
      <c r="F25" s="38"/>
      <c r="G25" s="46" t="s">
        <v>59</v>
      </c>
      <c r="H25" s="46" t="s">
        <v>208</v>
      </c>
      <c r="I25" s="41">
        <v>722</v>
      </c>
      <c r="J25" s="38" t="s">
        <v>81</v>
      </c>
      <c r="K25" s="38"/>
      <c r="L25" s="38" t="s">
        <v>82</v>
      </c>
    </row>
    <row r="26" spans="1:12" ht="46" customHeight="1" x14ac:dyDescent="0.35">
      <c r="A26" s="31">
        <v>38</v>
      </c>
      <c r="B26" s="36" t="s">
        <v>189</v>
      </c>
      <c r="C26" s="40" t="s">
        <v>39</v>
      </c>
      <c r="D26" s="36" t="s">
        <v>190</v>
      </c>
      <c r="E26" s="36" t="s">
        <v>188</v>
      </c>
      <c r="F26" s="36"/>
      <c r="G26" s="36" t="s">
        <v>59</v>
      </c>
      <c r="H26" s="45" t="s">
        <v>208</v>
      </c>
      <c r="I26" s="52">
        <v>1407</v>
      </c>
      <c r="J26" s="36" t="s">
        <v>81</v>
      </c>
      <c r="K26" s="36"/>
      <c r="L26" s="36" t="s">
        <v>82</v>
      </c>
    </row>
    <row r="27" spans="1:12" ht="53" customHeight="1" x14ac:dyDescent="0.35">
      <c r="A27" s="34">
        <v>39</v>
      </c>
      <c r="B27" s="46" t="s">
        <v>192</v>
      </c>
      <c r="C27" s="40" t="s">
        <v>39</v>
      </c>
      <c r="D27" s="38" t="s">
        <v>193</v>
      </c>
      <c r="E27" s="38" t="s">
        <v>191</v>
      </c>
      <c r="F27" s="38"/>
      <c r="G27" s="38" t="s">
        <v>59</v>
      </c>
      <c r="H27" s="46" t="s">
        <v>208</v>
      </c>
      <c r="I27" s="41">
        <v>329</v>
      </c>
      <c r="J27" s="38" t="s">
        <v>81</v>
      </c>
      <c r="K27" s="38"/>
      <c r="L27" s="38" t="s">
        <v>82</v>
      </c>
    </row>
    <row r="28" spans="1:12" ht="46" customHeight="1" x14ac:dyDescent="0.35">
      <c r="A28" s="31">
        <v>40</v>
      </c>
      <c r="B28" s="36" t="s">
        <v>195</v>
      </c>
      <c r="C28" s="40" t="s">
        <v>39</v>
      </c>
      <c r="D28" s="36" t="s">
        <v>194</v>
      </c>
      <c r="E28" s="36" t="s">
        <v>196</v>
      </c>
      <c r="F28" s="36"/>
      <c r="G28" s="36" t="s">
        <v>59</v>
      </c>
      <c r="H28" s="45" t="s">
        <v>208</v>
      </c>
      <c r="I28" s="52">
        <v>1108</v>
      </c>
      <c r="J28" s="36" t="s">
        <v>81</v>
      </c>
      <c r="K28" s="36"/>
      <c r="L28" s="36" t="s">
        <v>82</v>
      </c>
    </row>
    <row r="29" spans="1:12" ht="53" customHeight="1" x14ac:dyDescent="0.35">
      <c r="A29" s="34">
        <v>41</v>
      </c>
      <c r="B29" s="46" t="s">
        <v>197</v>
      </c>
      <c r="C29" s="40" t="s">
        <v>39</v>
      </c>
      <c r="D29" s="38" t="s">
        <v>198</v>
      </c>
      <c r="E29" s="38" t="s">
        <v>199</v>
      </c>
      <c r="F29" s="38"/>
      <c r="G29" s="38" t="s">
        <v>60</v>
      </c>
      <c r="H29" s="46" t="s">
        <v>208</v>
      </c>
      <c r="I29" s="41">
        <v>2562</v>
      </c>
      <c r="J29" s="38" t="s">
        <v>81</v>
      </c>
      <c r="K29" s="38"/>
      <c r="L29" s="38" t="s">
        <v>82</v>
      </c>
    </row>
    <row r="30" spans="1:12" ht="46" customHeight="1" x14ac:dyDescent="0.35">
      <c r="A30" s="31">
        <v>42</v>
      </c>
      <c r="B30" s="36" t="s">
        <v>200</v>
      </c>
      <c r="C30" s="40" t="s">
        <v>39</v>
      </c>
      <c r="D30" s="36" t="s">
        <v>201</v>
      </c>
      <c r="E30" s="36" t="s">
        <v>202</v>
      </c>
      <c r="F30" s="36"/>
      <c r="G30" s="50" t="s">
        <v>85</v>
      </c>
      <c r="H30" s="45" t="s">
        <v>208</v>
      </c>
      <c r="I30" s="53" t="s">
        <v>85</v>
      </c>
      <c r="J30" s="36" t="s">
        <v>81</v>
      </c>
      <c r="K30" s="36"/>
      <c r="L30" s="36" t="s">
        <v>82</v>
      </c>
    </row>
  </sheetData>
  <autoFilter ref="A3:I12" xr:uid="{00000000-0009-0000-0000-000006000000}"/>
  <mergeCells count="1">
    <mergeCell ref="A1:I1"/>
  </mergeCells>
  <dataValidations count="3">
    <dataValidation type="list" sqref="C4:C30" xr:uid="{3318AFAA-E8EE-4283-8F86-5F11E6536D75}">
      <formula1>"Olahraga,Fasilitas Pemerintahan,Fasilitas Keagamaan,Fasilitas Pendidikan"</formula1>
      <formula2>0</formula2>
    </dataValidation>
    <dataValidation type="list" allowBlank="1" sqref="G4:G30" xr:uid="{E8BE4CCF-6C44-4D80-A84B-37B63AD68BFA}">
      <formula1>"Hak Milik,Hak Wakaf,Hak Pakai,Kosong,-"</formula1>
      <formula2>0</formula2>
    </dataValidation>
    <dataValidation type="list" allowBlank="1" sqref="F4:F30" xr:uid="{B4C1F51D-1E5B-452D-8F0E-773FF92053B3}">
      <formula1>"Baik,Cukup,Rusak Ringan,Rusak Berat,Belum Disurvei"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4B8A"/>
  </sheetPr>
  <dimension ref="A1:L17"/>
  <sheetViews>
    <sheetView showGridLines="0" zoomScaleNormal="100" workbookViewId="0">
      <pane ySplit="3" topLeftCell="A18" activePane="bottomLeft" state="frozen"/>
      <selection pane="bottomLeft" activeCell="B6" sqref="B6"/>
    </sheetView>
  </sheetViews>
  <sheetFormatPr defaultColWidth="8.6328125" defaultRowHeight="14.5" x14ac:dyDescent="0.35"/>
  <cols>
    <col min="1" max="1" width="7" customWidth="1"/>
    <col min="2" max="2" width="30" customWidth="1"/>
    <col min="3" max="3" width="42" customWidth="1"/>
    <col min="4" max="4" width="26" customWidth="1"/>
    <col min="5" max="5" width="14" customWidth="1"/>
    <col min="6" max="6" width="16" customWidth="1"/>
    <col min="7" max="7" width="13" customWidth="1"/>
    <col min="8" max="8" width="20" customWidth="1"/>
    <col min="9" max="9" width="34" customWidth="1"/>
  </cols>
  <sheetData>
    <row r="1" spans="1:12" ht="25.5" customHeight="1" x14ac:dyDescent="0.35">
      <c r="A1" s="72" t="s">
        <v>135</v>
      </c>
      <c r="B1" s="72"/>
      <c r="C1" s="72"/>
      <c r="D1" s="72"/>
      <c r="E1" s="72"/>
      <c r="F1" s="72"/>
      <c r="G1" s="72"/>
      <c r="H1" s="72"/>
      <c r="I1" s="72"/>
    </row>
    <row r="3" spans="1:12" ht="31.5" customHeight="1" x14ac:dyDescent="0.35">
      <c r="A3" s="15" t="s">
        <v>65</v>
      </c>
      <c r="B3" s="15" t="s">
        <v>66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73</v>
      </c>
      <c r="H3" s="15" t="s">
        <v>74</v>
      </c>
      <c r="I3" s="15" t="s">
        <v>76</v>
      </c>
    </row>
    <row r="4" spans="1:12" ht="47.5" customHeight="1" x14ac:dyDescent="0.35">
      <c r="A4" s="31">
        <v>2</v>
      </c>
      <c r="B4" s="36" t="s">
        <v>111</v>
      </c>
      <c r="C4" s="39" t="s">
        <v>40</v>
      </c>
      <c r="D4" s="36" t="s">
        <v>140</v>
      </c>
      <c r="E4" s="36" t="s">
        <v>112</v>
      </c>
      <c r="F4" s="36"/>
      <c r="G4" s="36" t="s">
        <v>59</v>
      </c>
      <c r="H4" s="45" t="s">
        <v>207</v>
      </c>
      <c r="I4" s="37">
        <v>387</v>
      </c>
      <c r="J4" s="36" t="s">
        <v>81</v>
      </c>
      <c r="K4" s="36"/>
      <c r="L4" s="36" t="s">
        <v>82</v>
      </c>
    </row>
    <row r="5" spans="1:12" ht="46" customHeight="1" x14ac:dyDescent="0.35">
      <c r="A5" s="34">
        <v>3</v>
      </c>
      <c r="B5" s="38" t="s">
        <v>113</v>
      </c>
      <c r="C5" s="39" t="s">
        <v>40</v>
      </c>
      <c r="D5" s="38" t="s">
        <v>114</v>
      </c>
      <c r="E5" s="38" t="s">
        <v>115</v>
      </c>
      <c r="F5" s="38"/>
      <c r="G5" s="49" t="s">
        <v>85</v>
      </c>
      <c r="H5" s="46" t="s">
        <v>207</v>
      </c>
      <c r="I5" s="34" t="s">
        <v>85</v>
      </c>
      <c r="J5" s="38" t="s">
        <v>81</v>
      </c>
      <c r="K5" s="38"/>
      <c r="L5" s="38" t="s">
        <v>82</v>
      </c>
    </row>
    <row r="6" spans="1:12" ht="104" x14ac:dyDescent="0.35">
      <c r="A6" s="31">
        <v>4</v>
      </c>
      <c r="B6" s="36" t="s">
        <v>116</v>
      </c>
      <c r="C6" s="39" t="s">
        <v>40</v>
      </c>
      <c r="D6" s="36" t="s">
        <v>114</v>
      </c>
      <c r="E6" s="36" t="s">
        <v>117</v>
      </c>
      <c r="F6" s="36"/>
      <c r="G6" s="36" t="s">
        <v>79</v>
      </c>
      <c r="H6" s="45" t="s">
        <v>207</v>
      </c>
      <c r="I6" s="31" t="s">
        <v>85</v>
      </c>
      <c r="J6" s="36" t="s">
        <v>81</v>
      </c>
      <c r="K6" s="36"/>
      <c r="L6" s="36" t="s">
        <v>82</v>
      </c>
    </row>
    <row r="7" spans="1:12" ht="46" customHeight="1" x14ac:dyDescent="0.35">
      <c r="A7" s="34">
        <v>5</v>
      </c>
      <c r="B7" s="38" t="s">
        <v>118</v>
      </c>
      <c r="C7" s="39" t="s">
        <v>40</v>
      </c>
      <c r="D7" s="38" t="s">
        <v>136</v>
      </c>
      <c r="E7" s="38" t="s">
        <v>119</v>
      </c>
      <c r="F7" s="38"/>
      <c r="G7" s="49" t="s">
        <v>85</v>
      </c>
      <c r="H7" s="46" t="s">
        <v>207</v>
      </c>
      <c r="I7" s="34" t="s">
        <v>85</v>
      </c>
      <c r="J7" s="38" t="s">
        <v>81</v>
      </c>
      <c r="K7" s="38"/>
      <c r="L7" s="38" t="s">
        <v>82</v>
      </c>
    </row>
    <row r="8" spans="1:12" ht="44.5" customHeight="1" x14ac:dyDescent="0.35">
      <c r="A8" s="31">
        <v>6</v>
      </c>
      <c r="B8" s="36" t="s">
        <v>120</v>
      </c>
      <c r="C8" s="39" t="s">
        <v>40</v>
      </c>
      <c r="D8" s="36" t="s">
        <v>136</v>
      </c>
      <c r="E8" s="36" t="s">
        <v>121</v>
      </c>
      <c r="F8" s="36"/>
      <c r="G8" s="50" t="s">
        <v>85</v>
      </c>
      <c r="H8" s="45" t="s">
        <v>207</v>
      </c>
      <c r="I8" s="31" t="s">
        <v>85</v>
      </c>
      <c r="J8" s="36" t="s">
        <v>81</v>
      </c>
      <c r="K8" s="36"/>
      <c r="L8" s="36" t="s">
        <v>82</v>
      </c>
    </row>
    <row r="9" spans="1:12" ht="46" customHeight="1" x14ac:dyDescent="0.35">
      <c r="A9" s="34">
        <v>7</v>
      </c>
      <c r="B9" s="38" t="s">
        <v>122</v>
      </c>
      <c r="C9" s="39" t="s">
        <v>40</v>
      </c>
      <c r="D9" s="38" t="s">
        <v>114</v>
      </c>
      <c r="E9" s="38" t="s">
        <v>123</v>
      </c>
      <c r="F9" s="38"/>
      <c r="G9" s="38" t="s">
        <v>59</v>
      </c>
      <c r="H9" s="46" t="s">
        <v>207</v>
      </c>
      <c r="I9" s="34">
        <v>435</v>
      </c>
      <c r="J9" s="38" t="s">
        <v>81</v>
      </c>
      <c r="K9" s="38"/>
      <c r="L9" s="38" t="s">
        <v>82</v>
      </c>
    </row>
    <row r="10" spans="1:12" ht="104" x14ac:dyDescent="0.35">
      <c r="A10" s="31">
        <v>8</v>
      </c>
      <c r="B10" s="36" t="s">
        <v>124</v>
      </c>
      <c r="C10" s="39" t="s">
        <v>40</v>
      </c>
      <c r="D10" s="36" t="s">
        <v>114</v>
      </c>
      <c r="E10" s="36" t="s">
        <v>125</v>
      </c>
      <c r="F10" s="36"/>
      <c r="G10" s="36" t="s">
        <v>79</v>
      </c>
      <c r="H10" s="45" t="s">
        <v>207</v>
      </c>
      <c r="I10" s="37">
        <v>1831</v>
      </c>
      <c r="J10" s="36" t="s">
        <v>81</v>
      </c>
      <c r="K10" s="36"/>
      <c r="L10" s="36" t="s">
        <v>82</v>
      </c>
    </row>
    <row r="11" spans="1:12" ht="46" customHeight="1" x14ac:dyDescent="0.35">
      <c r="A11" s="34">
        <v>9</v>
      </c>
      <c r="B11" s="38" t="s">
        <v>126</v>
      </c>
      <c r="C11" s="39" t="s">
        <v>40</v>
      </c>
      <c r="D11" s="38" t="s">
        <v>136</v>
      </c>
      <c r="E11" s="38" t="s">
        <v>127</v>
      </c>
      <c r="F11" s="38"/>
      <c r="G11" s="38" t="s">
        <v>60</v>
      </c>
      <c r="H11" s="46" t="s">
        <v>207</v>
      </c>
      <c r="I11" s="34">
        <v>254</v>
      </c>
      <c r="J11" s="38" t="s">
        <v>81</v>
      </c>
      <c r="K11" s="38"/>
      <c r="L11" s="38" t="s">
        <v>82</v>
      </c>
    </row>
    <row r="12" spans="1:12" ht="104" x14ac:dyDescent="0.35">
      <c r="A12" s="31">
        <v>10</v>
      </c>
      <c r="B12" s="36" t="s">
        <v>128</v>
      </c>
      <c r="C12" s="39" t="s">
        <v>40</v>
      </c>
      <c r="D12" s="36" t="s">
        <v>114</v>
      </c>
      <c r="E12" s="36" t="s">
        <v>129</v>
      </c>
      <c r="F12" s="36"/>
      <c r="G12" s="50" t="s">
        <v>85</v>
      </c>
      <c r="H12" s="45" t="s">
        <v>207</v>
      </c>
      <c r="I12" s="31" t="s">
        <v>85</v>
      </c>
      <c r="J12" s="36" t="s">
        <v>81</v>
      </c>
      <c r="K12" s="36"/>
      <c r="L12" s="36" t="s">
        <v>82</v>
      </c>
    </row>
    <row r="13" spans="1:12" ht="46" customHeight="1" x14ac:dyDescent="0.35">
      <c r="A13" s="34">
        <v>11</v>
      </c>
      <c r="B13" s="38" t="s">
        <v>95</v>
      </c>
      <c r="C13" s="39" t="s">
        <v>40</v>
      </c>
      <c r="D13" s="38" t="s">
        <v>96</v>
      </c>
      <c r="E13" s="38" t="s">
        <v>97</v>
      </c>
      <c r="F13" s="38"/>
      <c r="G13" s="38" t="s">
        <v>60</v>
      </c>
      <c r="H13" s="46" t="s">
        <v>207</v>
      </c>
      <c r="I13" s="34">
        <v>2464</v>
      </c>
      <c r="J13" s="38" t="s">
        <v>81</v>
      </c>
      <c r="K13" s="38"/>
      <c r="L13" s="38" t="s">
        <v>82</v>
      </c>
    </row>
    <row r="14" spans="1:12" ht="104" x14ac:dyDescent="0.35">
      <c r="A14" s="31">
        <v>12</v>
      </c>
      <c r="B14" s="45" t="s">
        <v>154</v>
      </c>
      <c r="C14" s="39" t="s">
        <v>40</v>
      </c>
      <c r="D14" s="36" t="s">
        <v>155</v>
      </c>
      <c r="E14" s="36" t="s">
        <v>156</v>
      </c>
      <c r="F14" s="36"/>
      <c r="G14" s="45" t="s">
        <v>59</v>
      </c>
      <c r="H14" s="45" t="s">
        <v>207</v>
      </c>
      <c r="I14" s="37">
        <v>1180</v>
      </c>
      <c r="J14" s="36" t="s">
        <v>81</v>
      </c>
      <c r="K14" s="36"/>
      <c r="L14" s="36" t="s">
        <v>82</v>
      </c>
    </row>
    <row r="15" spans="1:12" ht="46" customHeight="1" x14ac:dyDescent="0.35">
      <c r="A15" s="34">
        <v>13</v>
      </c>
      <c r="B15" s="38" t="s">
        <v>169</v>
      </c>
      <c r="C15" s="39" t="s">
        <v>40</v>
      </c>
      <c r="D15" s="38" t="s">
        <v>168</v>
      </c>
      <c r="E15" s="38" t="s">
        <v>170</v>
      </c>
      <c r="F15" s="38"/>
      <c r="G15" s="46" t="s">
        <v>60</v>
      </c>
      <c r="H15" s="46" t="s">
        <v>207</v>
      </c>
      <c r="I15" s="51">
        <v>2464</v>
      </c>
      <c r="J15" s="38" t="s">
        <v>81</v>
      </c>
      <c r="K15" s="38"/>
      <c r="L15" s="38" t="s">
        <v>82</v>
      </c>
    </row>
    <row r="16" spans="1:12" ht="104" x14ac:dyDescent="0.35">
      <c r="A16" s="31">
        <v>14</v>
      </c>
      <c r="B16" s="45" t="s">
        <v>183</v>
      </c>
      <c r="C16" s="39" t="s">
        <v>40</v>
      </c>
      <c r="D16" s="36" t="s">
        <v>182</v>
      </c>
      <c r="E16" s="36" t="s">
        <v>184</v>
      </c>
      <c r="F16" s="36"/>
      <c r="G16" s="45" t="s">
        <v>59</v>
      </c>
      <c r="H16" s="45" t="s">
        <v>207</v>
      </c>
      <c r="I16" s="31">
        <v>720</v>
      </c>
      <c r="J16" s="36" t="s">
        <v>81</v>
      </c>
      <c r="K16" s="36"/>
      <c r="L16" s="36" t="s">
        <v>82</v>
      </c>
    </row>
    <row r="17" spans="1:12" ht="46" customHeight="1" x14ac:dyDescent="0.35">
      <c r="A17" s="34">
        <v>15</v>
      </c>
      <c r="B17" s="38" t="s">
        <v>204</v>
      </c>
      <c r="C17" s="39" t="s">
        <v>40</v>
      </c>
      <c r="D17" s="38" t="s">
        <v>203</v>
      </c>
      <c r="E17" s="38" t="s">
        <v>205</v>
      </c>
      <c r="F17" s="38"/>
      <c r="G17" s="46" t="s">
        <v>59</v>
      </c>
      <c r="H17" s="46" t="s">
        <v>207</v>
      </c>
      <c r="I17" s="34">
        <v>383</v>
      </c>
      <c r="J17" s="38" t="s">
        <v>81</v>
      </c>
      <c r="K17" s="38"/>
      <c r="L17" s="38" t="s">
        <v>82</v>
      </c>
    </row>
  </sheetData>
  <autoFilter ref="A3:I13" xr:uid="{00000000-0009-0000-0000-000007000000}"/>
  <mergeCells count="1">
    <mergeCell ref="A1:I1"/>
  </mergeCells>
  <dataValidations count="3">
    <dataValidation type="list" sqref="C4:C17" xr:uid="{B4C14464-8DE4-40E0-89AE-8BA0DE493380}">
      <formula1>"Olahraga,Fasilitas Pemerintahan,Fasilitas Keagamaan,Fasilitas Pendidikan"</formula1>
      <formula2>0</formula2>
    </dataValidation>
    <dataValidation type="list" allowBlank="1" sqref="G4:G17" xr:uid="{BA7525B9-DFBD-4C33-ABA1-71E3C952F940}">
      <formula1>"Hak Milik,Hak Wakaf,Hak Pakai,Kosong,-"</formula1>
      <formula2>0</formula2>
    </dataValidation>
    <dataValidation type="list" allowBlank="1" sqref="F4:F17" xr:uid="{FD440A54-42E9-43B9-B957-4550AEECDA81}">
      <formula1>"Baik,Cukup,Rusak Ringan,Rusak Berat,Belum Disurvei"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PETUNJUK</vt:lpstr>
      <vt:lpstr>RINGKASAN</vt:lpstr>
      <vt:lpstr>INVENTARISASI ASET</vt:lpstr>
      <vt:lpstr>ASET OLAHRAGA</vt:lpstr>
      <vt:lpstr>ASET PEMERINTAHAN</vt:lpstr>
      <vt:lpstr>ASET KEAGAMAAN</vt:lpstr>
      <vt:lpstr>ASET PENDIDIKAN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INFINIX</cp:lastModifiedBy>
  <cp:revision>0</cp:revision>
  <dcterms:created xsi:type="dcterms:W3CDTF">2026-07-06T04:05:16Z</dcterms:created>
  <dcterms:modified xsi:type="dcterms:W3CDTF">2026-07-15T13:06:16Z</dcterms:modified>
  <dc:language>en-US</dc:language>
</cp:coreProperties>
</file>